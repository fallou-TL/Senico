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19200" windowHeight="7980" activeTab="1"/>
  </bookViews>
  <sheets>
    <sheet name="GeneralSettings" sheetId="8" r:id="rId1"/>
    <sheet name="CustomSettings" sheetId="5" r:id="rId2"/>
    <sheet name="Constants" sheetId="2" r:id="rId3"/>
    <sheet name="Assets" sheetId="9" r:id="rId4"/>
    <sheet name="LanguageSettings" sheetId="7" r:id="rId5"/>
    <sheet name="DataValidation" sheetId="6" r:id="rId6"/>
  </sheets>
  <definedNames>
    <definedName name="_xlnm._FilterDatabase" localSheetId="1" hidden="1">CustomSettings!#REF!</definedName>
    <definedName name="_xlnm._FilterDatabase" localSheetId="0" hidden="1">GeneralSettings!#REF!</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<sst xmlns="http://schemas.openxmlformats.org/spreadsheetml/2006/main" count="462" uniqueCount="365">
  <si>
    <t>Name</t>
  </si>
  <si>
    <t>Value</t>
  </si>
  <si>
    <t>Dev Value</t>
  </si>
  <si>
    <t>Test Value</t>
  </si>
  <si>
    <t>Description</t>
  </si>
  <si>
    <t>Process Settings</t>
  </si>
  <si>
    <t>ProcessName</t>
  </si>
  <si>
    <t>189_HR_Workday_Casiers_Judiciaires</t>
  </si>
  <si>
    <t>Name of your process. This name appears in Process folders and Mail subject</t>
  </si>
  <si>
    <t>DispatcherStyle</t>
  </si>
  <si>
    <t>Separate Dispatcher - Performer</t>
  </si>
  <si>
    <t>Choose whether or not you want to create a seperate UiPath project for the dispatcher. See Documentation Chapter 3 for more details. Make sure Prod and Test value are same.</t>
  </si>
  <si>
    <t>ScreenResolutionExpected</t>
  </si>
  <si>
    <t>1920x1080</t>
  </si>
  <si>
    <t>Used to log comparison of expected resolution with actual resolution.</t>
  </si>
  <si>
    <t>BusinessProcessName</t>
  </si>
  <si>
    <t>Accelerated Framework</t>
  </si>
  <si>
    <t>This is a logging field which allows you to group the log data of two or more subprocesses under the same business process name</t>
  </si>
  <si>
    <t>RoboyoFrameworkVersion</t>
  </si>
  <si>
    <t>22.10.5</t>
  </si>
  <si>
    <t>Used to log the version of the Framework currently in use.</t>
  </si>
  <si>
    <t>ProcessesToKill</t>
  </si>
  <si>
    <t>chrome</t>
  </si>
  <si>
    <t>String containing the names of the processes to be killed in the KillAllProcesses workflow. Default Delimiter " ; ". Example: iexplore;chrome; …</t>
  </si>
  <si>
    <t>ProcessLanguage</t>
  </si>
  <si>
    <t>French</t>
  </si>
  <si>
    <t>Possible values are: "English", "German", "Spanish". Check the Sheet LanguageSettings for an overview</t>
  </si>
  <si>
    <t>Orchestrator Settings</t>
  </si>
  <si>
    <t>OrchestratorQueueName</t>
  </si>
  <si>
    <t>senico</t>
  </si>
  <si>
    <t>Orchestrator Queue Name. Be sure to match this name with the one from the server.</t>
  </si>
  <si>
    <t>OrchestratorQueueFolder</t>
  </si>
  <si>
    <t>Shared</t>
  </si>
  <si>
    <t>Folder name. The value must match a folder defined in Orchestrator and queue specified as OrchestratorQueueName should be created in this folder. For classic folders leave the value field empty.</t>
  </si>
  <si>
    <t>Orchestrator_SpecificContent</t>
  </si>
  <si>
    <t>ID</t>
  </si>
  <si>
    <t xml:space="preserve">Provide a specific content value for reporting </t>
  </si>
  <si>
    <t>OrchestratorAssetFolder</t>
  </si>
  <si>
    <t>EncryptQueueItems</t>
  </si>
  <si>
    <t>Enables or disables Queue Item Encryption. The Encryption Key should be stored securely and be rotated at least once every two years by the NIST, see Section 5.3.6, Page 52 for more information. https://nvlpubs.nist.gov/nistpubs/SpecialPublications/NIST.SP.800-57pt1r4.pdf</t>
  </si>
  <si>
    <t>EncryptionKey</t>
  </si>
  <si>
    <t>ExampleKeyName</t>
  </si>
  <si>
    <t>Name of the Credentials Asset where the Password is equal to the EncryptionKey</t>
  </si>
  <si>
    <t>QueueItemFieldsToEncrypt</t>
  </si>
  <si>
    <t>Example,Field</t>
  </si>
  <si>
    <t>FieldsToEncryptSeparator</t>
  </si>
  <si>
    <t>,</t>
  </si>
  <si>
    <t>SageUserCredential</t>
  </si>
  <si>
    <t>SageCredentials</t>
  </si>
  <si>
    <t>SharePoint Settings</t>
  </si>
  <si>
    <t>RaiseAlert</t>
  </si>
  <si>
    <t>If set to True, an Alert will be raised to Orchestrator when Maximum Retries had been reached.</t>
  </si>
  <si>
    <t>Orchestrator_TerminateMessage</t>
  </si>
  <si>
    <t>To update Orchestrator Job Status, if a Job encountered a system exception in Init or after Max system errors reached.</t>
  </si>
  <si>
    <t>Email Settings</t>
  </si>
  <si>
    <t>EmailType</t>
  </si>
  <si>
    <t>SMTP</t>
  </si>
  <si>
    <t>If False, Mails will be sent through SMTP. The SMPT-settings (below) are only relevant if this variable is set to False. Delete the SMTP Settings if you use Outlook</t>
  </si>
  <si>
    <t>EmailAccount</t>
  </si>
  <si>
    <t>plyon@lfdj.com</t>
  </si>
  <si>
    <t>Mail account used to sent Mails</t>
  </si>
  <si>
    <t>EmailSendOnBehalfOf</t>
  </si>
  <si>
    <t>Mail account to send on behalf of, if supported</t>
  </si>
  <si>
    <t>EmailName</t>
  </si>
  <si>
    <t>Email name used when sending out emails (ie, account is support@roboyo.de but name can be "RPA Support Group" or anything you want)</t>
  </si>
  <si>
    <t>EmailTemplateLanguage</t>
  </si>
  <si>
    <t>Chooses which Mail_Template will be used. Options: English, German, Spanish</t>
  </si>
  <si>
    <t>UseEmailCredentials</t>
  </si>
  <si>
    <t>If set to True it will retrieve the email credentials from Orchestrator.</t>
  </si>
  <si>
    <t>EmailCredential_OrchFolder</t>
  </si>
  <si>
    <t>Orchestrator folder where email credentials are stored</t>
  </si>
  <si>
    <t>EmailCredential_CredName</t>
  </si>
  <si>
    <t>Name of the credential in Orchestrator which stores the SMTP-User and SMTP-Password</t>
  </si>
  <si>
    <t>SMTP_Host</t>
  </si>
  <si>
    <t>mailgateway.prod.fdj.fr</t>
  </si>
  <si>
    <t>mailgateway.int.fdj.fr</t>
  </si>
  <si>
    <t>Network address</t>
  </si>
  <si>
    <t>SMTP_Port</t>
  </si>
  <si>
    <t>Network Port to sent mails through. In many cases this will be 587. For Gmail you can use 465</t>
  </si>
  <si>
    <t>EmailSensitivity</t>
  </si>
  <si>
    <t>HTML_Template_Name</t>
  </si>
  <si>
    <t>Configuration\Mail_Template_%Language%.html</t>
  </si>
  <si>
    <t>RobotName</t>
  </si>
  <si>
    <t>Robot RH</t>
  </si>
  <si>
    <t>The Robot name appears in the mail messages</t>
  </si>
  <si>
    <t>SendMailForSR</t>
  </si>
  <si>
    <t>StatusReport_Mail_Subject</t>
  </si>
  <si>
    <t>Subject of mail which contained StatusReport, which is sent at the end of the processrun</t>
  </si>
  <si>
    <t>StatusReport_Mail_CustomMessage</t>
  </si>
  <si>
    <t>Custom message in StatusReport mail. See Also Sheet LanguageSettings</t>
  </si>
  <si>
    <t>StatusReport_Mail_BreakReportMessage</t>
  </si>
  <si>
    <t>Custom message in StatusReport mail if the robot has aborted after reaching a configurable number of System errors [Constants: MaxSystemErrorNumber]. See Also Sheet LanguageSettings</t>
  </si>
  <si>
    <t>StatusReport_SummaryMessage</t>
  </si>
  <si>
    <t>Receiver of StatusReport Mail. Seperate multiple mailaddresses with a ; symbol, e.g. 123@roboyo.de; 456@roboyo.de</t>
  </si>
  <si>
    <t>StatusReport_SummaryMessage_NoData</t>
  </si>
  <si>
    <t>Receiver of StatusReport Mail in CC</t>
  </si>
  <si>
    <t>StatusReport_Mail_Receiver</t>
  </si>
  <si>
    <t>fkinedieng.ext@fdjunited.com</t>
  </si>
  <si>
    <t>Custom Summary if no transactions were performed.</t>
  </si>
  <si>
    <t>StatusReport_Mail_ReceiverCC</t>
  </si>
  <si>
    <t>HeyAutomate@lfdj.com</t>
  </si>
  <si>
    <t>Custom Summary if all items were dispatched correctly with no errors.</t>
  </si>
  <si>
    <t>StatusReport_Mail_ReceiverBCC</t>
  </si>
  <si>
    <t>Custom summary if any items experienced errors while dispatching.</t>
  </si>
  <si>
    <t>MinimumForAbnormality</t>
  </si>
  <si>
    <t>Relevant for Summary in StatusReportMail. If exceptions appear more times as the set number here, they will be explicitly named as abnormality in the summary.</t>
  </si>
  <si>
    <t>StatusReport_TemplatePath</t>
  </si>
  <si>
    <t>Configuration\Status_Report_Template.xlsx</t>
  </si>
  <si>
    <t>Path to the Status Report Template. If file does not exist, the robot will use an excel file with no design.</t>
  </si>
  <si>
    <t>StatusReport_Sheet</t>
  </si>
  <si>
    <t>Status_Report</t>
  </si>
  <si>
    <t>Sheet name of the Status Report.</t>
  </si>
  <si>
    <t>StatusReport_Name</t>
  </si>
  <si>
    <t>Status_Report_%Timestamp%.xlsx</t>
  </si>
  <si>
    <t>Always include %Timestamp%</t>
  </si>
  <si>
    <t>StatusReport_CopyElsewhere</t>
  </si>
  <si>
    <t>Informs the framework whether to copy the Status Report to another location at the end of the project.</t>
  </si>
  <si>
    <t>StatusReport_CopyFolderPath</t>
  </si>
  <si>
    <t>\Example\Path</t>
  </si>
  <si>
    <t>Folder location where to copy the file before the run completes.</t>
  </si>
  <si>
    <t>SendMailForSE</t>
  </si>
  <si>
    <t>SE_Mail_Subject</t>
  </si>
  <si>
    <t>Subject of System Exception mails</t>
  </si>
  <si>
    <t>SE_Mail_CustomMessage_AtInit</t>
  </si>
  <si>
    <t>Custom message in System Exception mail for Exception at the INIT-state. See Also Sheet LanguageSettings</t>
  </si>
  <si>
    <t>SE_Mail_CustomMessage</t>
  </si>
  <si>
    <t>Custom message in System Exception mail for Exception in the ProcessTransaction-state. See Also Sheet LanguageSettings</t>
  </si>
  <si>
    <t>SE_Mail_Receiver</t>
  </si>
  <si>
    <t>Receiver of System Exception Mail. Seperate multiple mailaddresses with a ; symbol, e.g. 123@roboyo.de; 456@roboyo.de</t>
  </si>
  <si>
    <t>SE_Mail_ReceiverCC</t>
  </si>
  <si>
    <t>Receiver of System Exception Mail in CC. If a client has a support contract with Roboyo, we may enter 'support@roboyo.de' in here.</t>
  </si>
  <si>
    <t>SE_Mail_ReceiverBCC</t>
  </si>
  <si>
    <t>Receiver of System Exception Mail in BCC.</t>
  </si>
  <si>
    <t>SendMailForBRE</t>
  </si>
  <si>
    <t>BRE_Mail_Subject</t>
  </si>
  <si>
    <t>Subject of Business Rule Exception mails</t>
  </si>
  <si>
    <t>BRE_Mail_CustomMessage</t>
  </si>
  <si>
    <t>BRE_Mail_Receiver</t>
  </si>
  <si>
    <t>Receiver of Business Rule Exception mail. Seperate multiple mailaddresses with a ; symbol, e.g. 123@roboyo.de; 456@roboyo.de</t>
  </si>
  <si>
    <t>BRE_Mail_ReceiverCC</t>
  </si>
  <si>
    <t>HeyAutomate@lfdj.com %INIT_PERSON_MAIL%</t>
  </si>
  <si>
    <t>Receiver of Business Rule Exception mail in CC</t>
  </si>
  <si>
    <t>BRE_Mail_ReceiverBCC</t>
  </si>
  <si>
    <t>Receiver of Business Rule Exception Mail in BCC.</t>
  </si>
  <si>
    <t>SendMailForProcessStarted</t>
  </si>
  <si>
    <t>If True it sends a mail for when the Process starts</t>
  </si>
  <si>
    <t>ProcessStarted_Mail_Subject</t>
  </si>
  <si>
    <t>Subject of Process Started mails</t>
  </si>
  <si>
    <t>ProcessStarted_Mail_MailBody</t>
  </si>
  <si>
    <t>Custom message in Process Started mail. See Also Sheet LanguageSettings</t>
  </si>
  <si>
    <t>ProcessStarted_Mail_Receiver</t>
  </si>
  <si>
    <t>Receiver of Process Started mail. Seperate multiple mailaddresses with a ; symbol, e.g. 123@roboyo.de; 456@roboyo.de</t>
  </si>
  <si>
    <t>ProcessStarted_Mail_ReceiverCC</t>
  </si>
  <si>
    <t>Receiver of Process Started mail in CC</t>
  </si>
  <si>
    <t>ProcessStarted_Mail_ReceiverBCC</t>
  </si>
  <si>
    <t>Receiver of Process Started Mail in BCC.</t>
  </si>
  <si>
    <t>foreignCountriesAllowed</t>
  </si>
  <si>
    <t>True</t>
  </si>
  <si>
    <t>Value must be "True" or "False".</t>
  </si>
  <si>
    <t>reassignTaskAllowed</t>
  </si>
  <si>
    <t>False</t>
  </si>
  <si>
    <t>deleteLocalDocumentAllowed</t>
  </si>
  <si>
    <t>ProcessName_DocumentRow</t>
  </si>
  <si>
    <t>Criminal Record</t>
  </si>
  <si>
    <t>FileName_SavePDF</t>
  </si>
  <si>
    <t>Casier.pdf</t>
  </si>
  <si>
    <t>MailTo_AddressCC</t>
  </si>
  <si>
    <t>MailSubject_NOCriminalRecords</t>
  </si>
  <si>
    <t>Casiers_Judiciaires - Casier judiciaire vierge pour le collaborateur %COLLABORATEUR% , Matricule : %MATRICULE%</t>
  </si>
  <si>
    <t>DEV - Casiers_Judiciaires - Casier judiciaire vide pour le collaborateur %COLLABORATEUR% , Matricule : %MATRICULE%</t>
  </si>
  <si>
    <t>INT - Casiers_Judiciaires - Casier judiciaire vide pour le collaborateur %COLLABORATEUR% , Matricule : %MATRICULE%</t>
  </si>
  <si>
    <t>MailBody_NOCriminalRecords</t>
  </si>
  <si>
    <t>&lt;p&gt;Je vous informe que le casier judiciaire du collaborateur %COLLABORATEUR% , Matricule : %MATRICULE% , est vierge et conforme. Aucune mention n'a été trouvée lors de l'analyse automatisée. &lt;/p&gt;</t>
  </si>
  <si>
    <t>MailSubject_CriminalRecords</t>
  </si>
  <si>
    <t>Casiers_Judiciaires - Mentions sur le casier judiciaire du collaborateur %COLLABORATEUR% , Matricule : %MATRICULE%</t>
  </si>
  <si>
    <t>DEV - Casiers_Judiciaires - Mentions sur le casier judiciaire du collaborateur %COLLABORATEUR% , Matricule : %MATRICULE%</t>
  </si>
  <si>
    <t>INT - Casiers_Judiciaires - Mentions sur le casier judiciaire du collaborateur %COLLABORATEUR% , Matricule : %MATRICULE%</t>
  </si>
  <si>
    <t>MailBody_CriminalRecords</t>
  </si>
  <si>
    <t xml:space="preserve">&lt;p&gt; Nous vous informons que lors de la vérification du casier judiciaire du collaborateur %COLLABORATEUR% , Matricule : %MATRICULE%, des mentions ont été relevées. &lt;/p&gt; 
&lt;p&gt; Nous vous prions de bien vouloir examiner ces mentions et de prendre les mesures nécessaires en fonction de notre politique interne. &lt;/p&gt; 
&lt;p&gt; Merci de votre compréhension et de votre coopération. &lt;/p&gt; </t>
  </si>
  <si>
    <t>FileName_UploadPDF</t>
  </si>
  <si>
    <t>\Input\PDF\SuppressionCasierJudicaireFDJGroupe.pdf</t>
  </si>
  <si>
    <t>Regex_NoCriminalRecords</t>
  </si>
  <si>
    <t>(Relevé des condamnations)[\s\r\n\D\d]{0,270}(Réf)</t>
  </si>
  <si>
    <t>Downloads_FolderPath</t>
  </si>
  <si>
    <t>C:\Users\A993551\Downloads\</t>
  </si>
  <si>
    <t>C:\Users\A992736\Downloads\</t>
  </si>
  <si>
    <t>D:\RUN RPA\189_HR_Workday_Casiers_Judiciaires\Test\Downloads\</t>
  </si>
  <si>
    <t>Directory download path for temporary PDF file. You need to put a "\" at the end of the directory</t>
  </si>
  <si>
    <t>NomUsage_Text</t>
  </si>
  <si>
    <t>Nom d'usage</t>
  </si>
  <si>
    <t>AllowedExtension</t>
  </si>
  <si>
    <t>pdf,png, jpg</t>
  </si>
  <si>
    <t>MaxMB</t>
  </si>
  <si>
    <t>PathDownloadAttachements</t>
  </si>
  <si>
    <t>C:\Users\senyoneadmin\Documents\UiPath\SENICO\Data</t>
  </si>
  <si>
    <t>DomainName</t>
  </si>
  <si>
    <t>senyone.sn</t>
  </si>
  <si>
    <t>AnnuaireFolder</t>
  </si>
  <si>
    <t>ANNUAIRE</t>
  </si>
  <si>
    <t>AnnuaireFileName</t>
  </si>
  <si>
    <t>Annuaire.xlsx</t>
  </si>
  <si>
    <t>AnnuaireFileUrl</t>
  </si>
  <si>
    <t>https://senyone.sharepoint.com/:x:/s/ServicesRH/EcNvdO692pJDpE007LBfz-4B4wA7J_ulFRarWxCrdjw_0A?e=PuwZaQ</t>
  </si>
  <si>
    <t>AnnuaireFileRange</t>
  </si>
  <si>
    <t>Feuil1</t>
  </si>
  <si>
    <t>BroadCastSenderMail</t>
  </si>
  <si>
    <t>reception@senico.sn, direction@senico.sn</t>
  </si>
  <si>
    <t>MailBox</t>
  </si>
  <si>
    <t>Boîte de réception</t>
  </si>
  <si>
    <t>MailBoxRPA</t>
  </si>
  <si>
    <t>SENICO</t>
  </si>
  <si>
    <t>Type_document</t>
  </si>
  <si>
    <t>invoices</t>
  </si>
  <si>
    <t>Document_confidence</t>
  </si>
  <si>
    <t>SharePointParentFolder</t>
  </si>
  <si>
    <t>https://senyone.sharepoint.com/:f:/s/ServicesRH/IgAHDSym0Y4OQIWg94J_tGliAenLgaPpG8A1Ae0OItEM6ao?e=uLdM8K</t>
  </si>
  <si>
    <t>SharePointFolder_DSI</t>
  </si>
  <si>
    <t>https://senyone.sharepoint.com/:f:/s/ServicesRH/IgCMdysN-cJVRJTscSIcJfwIAYAb2Lu0lMUQAZ6-yaJH8vY?e=9PGs0O</t>
  </si>
  <si>
    <t>SharePointFolder_ACHAT</t>
  </si>
  <si>
    <t>https://senyone.sharepoint.com/:f:/s/ServicesRH/IgCTljwmzmNwTagOpMvdqTmXAcwB8OEiJtqwdd7yPuz56sI?e=FzInGY</t>
  </si>
  <si>
    <t>SharePointFolder_LOG</t>
  </si>
  <si>
    <t>https://senyone.sharepoint.com/:f:/s/ServicesRH/IgCLpiGYyV_bTrgLo6SYiv52AYs001WXAI7EYue45KdVqmQ?e=UBwrRS</t>
  </si>
  <si>
    <t>SharePointFolder_A_DETERMINER</t>
  </si>
  <si>
    <t>https://senyone.sharepoint.com/:f:/s/ServicesRH/IgAbdU_t7HW4So2YznO6G_5wAUB7d_upIMseXAUSlG6b6oo?e=ppSRsv</t>
  </si>
  <si>
    <t>MailValidatorBody</t>
  </si>
  <si>
    <t>"Bonjour," &amp; vbCrLf &amp; vbCrLf &amp;
"Certaines informations sont manquantes ou non fiables pour la facture suivante :" &amp; vbCrLf &amp; vbCrLf &amp;
"Veuillez compléter les champs suivants : " &amp; vbCrLf &amp; vbCrLf &amp;</t>
  </si>
  <si>
    <t>MailValidatorSubject</t>
  </si>
  <si>
    <t xml:space="preserve">Complément d'informations pour la facture </t>
  </si>
  <si>
    <t>MailValidatorSignature</t>
  </si>
  <si>
    <t>"Merci de répondre en respectant exactement ce format." &amp; vbCrLf &amp; vbCrLf &amp;
"Cordialement," &amp; vbCrLf &amp;
"Service Automatisation UiPath"</t>
  </si>
  <si>
    <t>MailValidatorAdress</t>
  </si>
  <si>
    <t>fallou@senyone.sn</t>
  </si>
  <si>
    <t>MailValidatorAdressCC</t>
  </si>
  <si>
    <t>Asset_Workday_UI_HomepageURL</t>
  </si>
  <si>
    <t>Workday_UI_HomepageURL</t>
  </si>
  <si>
    <t>Asset_Workday_API_GetWorkerCredentials</t>
  </si>
  <si>
    <t>Workday_API_GetWorkerCredentials</t>
  </si>
  <si>
    <t>Asset_Workday_API_URL</t>
  </si>
  <si>
    <t>Workday_API_URL</t>
  </si>
  <si>
    <t>TestingInDEV</t>
  </si>
  <si>
    <t>TestingInDEV_Email</t>
  </si>
  <si>
    <t>Credentials_FileName</t>
  </si>
  <si>
    <t>Workday_CredentialAssets.json</t>
  </si>
  <si>
    <t>Workday_StorageBucket</t>
  </si>
  <si>
    <t>Workday</t>
  </si>
  <si>
    <t>Credentials_DowloadPath</t>
  </si>
  <si>
    <t>D:\RUN RPA\189_HR_Workday_Casiers_Judiciaires\Prod\Input\Workday_CredentialAssets.json</t>
  </si>
  <si>
    <t>D:\RUN RPA\189_HR_Workday_Casiers_Judiciaires\Dev\Input\Workday_CredentialAssets.json</t>
  </si>
  <si>
    <t>D:\RUN RPA\189_HR_Workday_Casiers_Judiciaires\Test\Input\Workday_CredentialAssets.json</t>
  </si>
  <si>
    <t>General Constants</t>
  </si>
  <si>
    <t>MaxRetryNumber</t>
  </si>
  <si>
    <t>Must be 0 if working with Orchestrator queues. If &gt; 0, the robot will retry the same transaction which failed with application exception. Must be integer.</t>
  </si>
  <si>
    <t>MaxSystemErrorNumber</t>
  </si>
  <si>
    <t>Maximum System errors encountered in Process-State, before the process aborts. Must be Integer.</t>
  </si>
  <si>
    <t>MaxTransactionsProcessed</t>
  </si>
  <si>
    <t>Number of transactions to proceed. If set to 0, all transaction data will be proceed. Must be Integer.</t>
  </si>
  <si>
    <t>MaxInitAppsRetries</t>
  </si>
  <si>
    <t>Number of times to retry Init Applications workflow in Init State if encounters a System Exception. If set to 0, Init Applications wil not be retried. Must be Integer.</t>
  </si>
  <si>
    <t>TimeoutShort</t>
  </si>
  <si>
    <t>Timeout short value in seconds, for activities which are likely to fail. Must be integer</t>
  </si>
  <si>
    <t>TimeoutMedium</t>
  </si>
  <si>
    <t>Timeout medium value in seconds. Must be integer</t>
  </si>
  <si>
    <t>TimeoutLong</t>
  </si>
  <si>
    <t>Timeout short value in seconds, for slow apps. Must be integer</t>
  </si>
  <si>
    <t>DelayShort</t>
  </si>
  <si>
    <t>Delay short value in seconds, for activities where it is necessary to wait a little. Must be integer</t>
  </si>
  <si>
    <t>DelayMedium</t>
  </si>
  <si>
    <t>Delay medium value in seconds, for activities where it is necessary to wait a moderate amount of time. Must be integer</t>
  </si>
  <si>
    <t>DelayLong</t>
  </si>
  <si>
    <t>Delay long value in seconds, for activities where it is necessary to wait a long time. Must be integer</t>
  </si>
  <si>
    <t>AccuracyLow</t>
  </si>
  <si>
    <t>Image accuracy low value, for images that have high contrast. Must be double</t>
  </si>
  <si>
    <t>AccuracyMedium</t>
  </si>
  <si>
    <t>Image accuracy medium value, for images that have normal contrast. Must be double</t>
  </si>
  <si>
    <t>AccuracyHigh</t>
  </si>
  <si>
    <t>Image accuracy high value, for images that have low contrast. Must be double</t>
  </si>
  <si>
    <t>LogMessage_GetTransactionData</t>
  </si>
  <si>
    <t xml:space="preserve">Processing Transaction Number: </t>
  </si>
  <si>
    <t>Static part of logging message. Calling Get Transaction Data</t>
  </si>
  <si>
    <t>LogMessage_GetTransactionDataError</t>
  </si>
  <si>
    <t xml:space="preserve">Error getting transaction data for Transaction Number: </t>
  </si>
  <si>
    <t>Static part of logging message. Error retrieving Transaction Data.</t>
  </si>
  <si>
    <t>LogMessage_Success</t>
  </si>
  <si>
    <t>Transaction Successful.</t>
  </si>
  <si>
    <t>Static part of logging message. Processed Transaction succesful</t>
  </si>
  <si>
    <t>LogMessage_BusinessRuleException</t>
  </si>
  <si>
    <t>Business rule exception.</t>
  </si>
  <si>
    <t>Static part of logging message. Processed Transaction failed with business exception</t>
  </si>
  <si>
    <t>LogMessage_ApplicationException</t>
  </si>
  <si>
    <t>System exception.</t>
  </si>
  <si>
    <t>Static part of logging message. Processed Transaction failed with application exception</t>
  </si>
  <si>
    <t>LogMessage_GetMessageMail</t>
  </si>
  <si>
    <t>Static part of logging message. Calling Get Message Mail</t>
  </si>
  <si>
    <t>RecordsProcessedCount</t>
  </si>
  <si>
    <t>Do NOT change. Should be set to 0. Default value for Process Analysis (Must be integer)</t>
  </si>
  <si>
    <t>SystemErrorCount</t>
  </si>
  <si>
    <t>Do NOT change. Should be set to 0. Default value for Process break (Must be integer)</t>
  </si>
  <si>
    <t>BusinessErrorCount</t>
  </si>
  <si>
    <t>ProcessFilesFolder</t>
  </si>
  <si>
    <t>D:\RUN RPA\189_HR_Workday_Casiers_Judiciaires\Prod</t>
  </si>
  <si>
    <t>D:\RUN RPA\189_HR_Workday_Casiers_Judiciaires\Dev</t>
  </si>
  <si>
    <t>D:\RUN RPA\189_HR_Workday_Casiers_Judiciaires\Test</t>
  </si>
  <si>
    <t>Folder where all subfolders for temporary files, such as screenshots, logfiles and statusReports are created.</t>
  </si>
  <si>
    <t>ArchiveTempFilesAfterDays</t>
  </si>
  <si>
    <t>Number of days before temporary files will be moved to the archive-folder.</t>
  </si>
  <si>
    <t>QueueActivitiesRetryNumber</t>
  </si>
  <si>
    <t>The number of times the Retry Scope sequence is to be retried. Must be integer</t>
  </si>
  <si>
    <t>QueueActivitiesRetryInterval</t>
  </si>
  <si>
    <t>Specifies the amount of time (in seconds) between each retry. Must be integer</t>
  </si>
  <si>
    <t>Custom Constants</t>
  </si>
  <si>
    <t>AddNewConstantsHere</t>
  </si>
  <si>
    <t>Required</t>
  </si>
  <si>
    <t>Description (Assets will always overwrite other config)</t>
  </si>
  <si>
    <t>Sage_UI_HomepageURL</t>
  </si>
  <si>
    <t>sharePoint_Parent_Folder</t>
  </si>
  <si>
    <t>Settings</t>
  </si>
  <si>
    <t>English</t>
  </si>
  <si>
    <t>Spanish</t>
  </si>
  <si>
    <t>German</t>
  </si>
  <si>
    <t>Job execution encountered system exception, Please see Log File and Status report</t>
  </si>
  <si>
    <t>L’exécution du travail a rencontré une exception système, veuillez consulter le fichier journal et le rapport d’expédition</t>
  </si>
  <si>
    <t>La ejecución del trabajo ha encontrado una excepción del sistema, por favor, vea el archivo de registro y el informe de estado</t>
  </si>
  <si>
    <t>Bei der Auftragsausführung ist eine Systemausnahme aufgetreten, siehe Log File und Status Report</t>
  </si>
  <si>
    <t>%ProcessName% - Status Report</t>
  </si>
  <si>
    <t>&lt;p&gt;You will find the Status Report attached to this mail
%SRSummary%&lt;/p&gt;</t>
  </si>
  <si>
    <t>&lt;p&gt;Vous trouverez le rapport de dispatch joint à ce mail. 
%SRSummary%&lt;/p&gt;</t>
  </si>
  <si>
    <t>&lt;p&gt;Adjunto recibirá el informe de estado de la ejecución.
%SRSummary%&lt;/p&gt;</t>
  </si>
  <si>
    <t>&lt;p&gt;Anbei erhalten Sie das Status Report der Roboter Durchlauf.
%SRSummary%&lt;/p&gt;</t>
  </si>
  <si>
    <t>&lt;p&gt;The process stopped after reaching the maximum number of Unexpected Errors allowed. You will find the status report attached to this Mail.&lt;/p&gt;</t>
  </si>
  <si>
    <t>&lt;p&gt;Le processus s’est arrêté après avoir atteint le nombre maximum d’erreurs inattendues autorisées. Vous trouverez le rapport de dispatch joint à ce mail.&lt;/p&gt;</t>
  </si>
  <si>
    <t>&lt;p&gt;El proceso se detuvo después de alcanzar el número máximo de errores de aplicación. Más detalles a continuación.&lt;/p&gt;</t>
  </si>
  <si>
    <t>&lt;p&gt;Der Prozess wurde gestoppt, nachdem die in der Konfigurationsdatei definierte maximale Anzahl von Systemfehlern erreicht wurde. Anbei erhalten Sie das Status Report der  Roboter Durchlauf.&lt;/p&gt;</t>
  </si>
  <si>
    <t>&lt;p&gt;Summary: &lt;br&gt;In total {0} Transaction(s) were processed. {1} Transaction(s) were successful and {2} Transaction(s) were not successful. &lt;br&gt;&lt;br&gt;Abnormalities: {3}&lt;/p&gt;</t>
  </si>
  <si>
    <t>&lt;p&gt;Résumé : &lt;br&gt;Au total, {0} Transaction(s) ont été traitées. {1} Transaction(s) ont réussi et {2} Transaction(s) n’ont pas réussi. &lt;br&gt;&lt;br&gt;Anomalies : {3}&lt;/p&gt;</t>
  </si>
  <si>
    <t>&lt;p&gt;Resumen: &lt;br&gt;En total se procesaron {0} Transacción(es). {1} Transacción(es) exitosa(s) y {2} Transacción(es) no exitosa(s). &lt;br&gt;&lt;br&gt;Anomalías: {3}&lt;/p&gt;</t>
  </si>
  <si>
    <t>&lt;p&gt;Zusammenfassung: &lt;br&gt;In total wurden {0} Transaktion(en) verarbeitet. {1} Transaktion(en) waren erfolgreich und {2} Transaktion(en) waren fehlerhaft.&lt;br&gt;&lt;br&gt;Auffälligkeiten: {3}&lt;/p&gt;</t>
  </si>
  <si>
    <t>&lt;p&gt;Summary: &lt;br&gt;No transaction data was found. Please check the process for more details.&lt;/p&gt;</t>
  </si>
  <si>
    <t>&lt;p&gt;Résumé : &lt;br&gt;Aucune donnée de transaction n’a été trouvée. Veuillez vérifier le processus pour plus de détails.&lt;/p&gt;</t>
  </si>
  <si>
    <t>&lt;p&gt;Resumen: &lt;br&gt; No se han encontrado datos de transacción. Por favor, compruebe si hay errores en el proceso.&lt;/p&gt;</t>
  </si>
  <si>
    <t>&lt;p&gt;Zusammenfassung: &lt;br&gt;Keine Transaktionsdaten gefunden, Bitte überprüfen Sie den Prozess auf mögliche Fehler.&lt;/p&gt;</t>
  </si>
  <si>
    <t>%Process% - Process Started</t>
  </si>
  <si>
    <t>ProcessStarted_EmailBody</t>
  </si>
  <si>
    <t>&lt;p&gt;The performer process has successfully started and will now begin to process work items in the queue (if there are any).&lt;/p&gt;</t>
  </si>
  <si>
    <t>&lt;p&gt;Le processus d’exécution a démarré avec succès et va maintenant commencer à traiter les éléments de travail dans la file d’attente (s’il y en a).&lt;/p&gt;</t>
  </si>
  <si>
    <t>%ProcessName% - System Exception</t>
  </si>
  <si>
    <t>&lt;p&gt;The %Process% was abrupted due to a unexpected error in the initializing stage. Please inform your RPA contact person.&lt;/p&gt;</t>
  </si>
  <si>
    <t xml:space="preserve">&lt;p&gt;Le %Process% a été interrompu en raison d’une erreur inattendue lors de l’étape d’initialisation. Veuillez informer votre personne de contact RPA.&lt;/p&gt; </t>
  </si>
  <si>
    <t xml:space="preserve">&lt;p&gt;El %Process% se interrumpió debido a un error inesperado en la etapa de inicialización. Por favor, informe a su persona de contacto de RPA.&lt;/p&gt;
</t>
  </si>
  <si>
    <t>&lt;p&gt;Der %Process% wurde aufgrund eines unerwarteten Fehlers in der Initialisierung-Phase abgebrochen. Bitte informieren Sie Ihren RPA Ansprechpartner.&lt;/p&gt;</t>
  </si>
  <si>
    <t>&lt;p&gt;The transaction with ID %ID% was abrupted, because of an unexpected error. A Screenshot and a log-file are attached to this mail. The process will continue with the next transaction. You will receive a status report when all transactions are processed.
&lt;p&gt;Message - Process Details:&lt;br /&gt;%ErrorMessage%&lt;/p&gt;
&lt;p&gt;Message - Activity source:&lt;br /&gt;%ErrorSource%&lt;/p&gt;
&lt;/p&gt;</t>
  </si>
  <si>
    <t>&lt;p&gt;La transaction avec l’ID %ID% , avec le collaborateur
 %COLLABORATEUR% , a été interrompue, en raison d’une erreur inattendue. Une capture d’écran et un fichier journal sont joints à ce courrier. Le processus se poursuivra avec la prochaine transaction. Vous recevrez un rapport d’état lorsque toutes les transactions seront traitées. &lt;p&gt;Message - Détails du processus:&lt;br /&gt;%ErrorMessage%&lt;/p&gt; &lt;p&gt;Message - Source de l’activité:&lt;br /&gt;%ErrorSource%&lt;/p&gt; &lt;/p&gt;</t>
  </si>
  <si>
    <t>&lt;p&gt;La transacción con ID %ID% se interrumpió debido a un error inesperado. Adjunto podrá ver una captura de pantalla y un archivo de registro. El proceso continuará con la próxima transacción. Recibirá un informe de estado cuando se procesen todas las transacciones.
&lt;p&gt;Mensaje - Detalles técnicos del proceso:&lt;br /&gt;%ErrorMessage%&lt;/p&gt;
&lt;p&gt;Mensaje - Fuente de actividad:&lt;br /&gt;%ErrorSource%&lt;/p&gt;
&lt;/p&gt;</t>
  </si>
  <si>
    <t>&lt;p&gt;Die transaktion mit ID %ID% wurde aufgrund eines unerwarteten Fehlers abgebrochen. Ein Screenshot und logdatei finden Sie im Anhang dieser Mail. Der Prozess l&amp;amp;auml;uft weiter bis alle Transaktionen abgearbeitet worden sind. Am Ende des Prozesses wird Ihnen eine Protokolldatei zugeschickt.
&lt;p&gt;Meldung - Prozesstechnische Details:&lt;br /&gt;%ErrorMessage%&lt;/p&gt;
&lt;p&gt;Meldung - Activity source:&lt;br /&gt;%ErrorSource%&lt;/p&gt;
&lt;/p&gt;</t>
  </si>
  <si>
    <t>%ProcessName% - Business Rule Exception</t>
  </si>
  <si>
    <t>%ProcessName% - Casier judiciaire non lisible par le robot pour le collaborateur %COLLABORATEUR% , Matricule : %MATRICULE% - Business Rule Exception</t>
  </si>
  <si>
    <t>&lt;p&gt;The transaction with ID %ID% was abrupted, because of a defined error. The process will continue with the next transaction. You will receive a status report when all transactions are processed.
&lt;p&gt;Error cause:&lt;br /&gt;%ErrorMessage%&lt;/p&gt;&lt;/p&gt;</t>
  </si>
  <si>
    <t>&lt;p&gt;La transaction avec l’ID %ID% , avec le collaborateur
 %COLLABORATEUR% ,  a été interrompue, en raison d’une erreur définie. Le processus se poursuivra avec la prochaine transaction. Vous recevrez un rapport d’état lorsque toutes les transactions seront traitées. &lt;p&gt;Cause de l’erreur:&lt;br /&gt;%ErrorMessage%&lt;/p&gt;&lt;/p&gt;</t>
  </si>
  <si>
    <t>&lt;p&gt;La transacción con ID %ID% se interrumpió debido a un error de negocio. El proceso continuará con la próxima transacción. Recibirá un informe de estado cuando se procesen todas las transacciones.
&lt;p&gt;La causa del error:&lt;br /&gt;%ErrorMessage%&lt;/p&gt;&lt;/p&gt;</t>
  </si>
  <si>
    <t>&lt;p&gt;Die transaktion mit ID %ID% ist auf einen definierten Fehler gesto&amp;amp;szlig;en und wurde abgebrochen. Der Prozess l&amp;amp;auml;uft weiter bis alle Transaktionen abgearbeitet worden sind. Am Ende des Prozesses wird Ihnen eine Protokolldatei zugeschickt.
&lt;p&gt;Fehlerursache:&lt;br /&gt;%ErrorMessage%&lt;/p&gt;&lt;/p&gt;</t>
  </si>
  <si>
    <t>Language</t>
  </si>
  <si>
    <t>Boolean</t>
  </si>
  <si>
    <t>DispatcherLogic</t>
  </si>
  <si>
    <t>Dispatcher integrated in Performer</t>
  </si>
  <si>
    <t>Outlook</t>
  </si>
  <si>
    <t>Office 365</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</si>
</sst>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2" formatCode="_(&quot;$&quot;* #,##0_);_(&quot;$&quot;* \(#,##0\);_(&quot;$&quot;* &quot;-&quot;_);_(@_)"/>
    <numFmt numFmtId="44" formatCode="_(&quot;$&quot;* #,##0.00_);_(&quot;$&quot;* \(#,##0.00\);_(&quot;$&quot;* &quot;-&quot;??_);_(@_)"/>
    <numFmt numFmtId="176" formatCode="_ * #,##0.00_ ;_ * \-#,##0.00_ ;_ * &quot;-&quot;??_ ;_ @_ "/>
    <numFmt numFmtId="177" formatCode="_ * #,##0_ ;_ * \-#,##0_ ;_ * &quot;-&quot;_ ;_ @_ "/>
  </numFmts>
  <fonts count="28">
    <font>
      <sz val="11"/>
      <color rgb="FF000000"/>
      <name val="Calibri"/>
      <charset val="134"/>
    </font>
    <font>
      <b/>
      <sz val="11"/>
      <color theme="0"/>
      <name val="Calibri"/>
      <charset val="134"/>
    </font>
    <font>
      <sz val="11"/>
      <color theme="1"/>
      <name val="Calibri"/>
      <charset val="134"/>
    </font>
    <font>
      <b/>
      <sz val="11"/>
      <color rgb="FF000000"/>
      <name val="Calibri"/>
      <charset val="134"/>
    </font>
    <font>
      <sz val="11"/>
      <name val="Calibri"/>
      <charset val="134"/>
    </font>
    <font>
      <b/>
      <sz val="14"/>
      <color theme="0"/>
      <name val="Calibri"/>
      <charset val="134"/>
    </font>
    <font>
      <b/>
      <sz val="11"/>
      <name val="Calibri"/>
      <charset val="134"/>
    </font>
    <font>
      <u/>
      <sz val="11"/>
      <color theme="10"/>
      <name val="Calibri"/>
      <charset val="134"/>
    </font>
    <font>
      <sz val="11"/>
      <color theme="1"/>
      <name val="Calibri"/>
      <charset val="134"/>
      <scheme val="minor"/>
    </font>
    <font>
      <sz val="11"/>
      <color theme="2" tint="-0.249977111117893"/>
      <name val="Calibri"/>
      <charset val="134"/>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8">
    <fill>
      <patternFill patternType="none"/>
    </fill>
    <fill>
      <patternFill patternType="gray125"/>
    </fill>
    <fill>
      <patternFill patternType="solid">
        <fgColor rgb="FF214FED"/>
        <bgColor indexed="64"/>
      </patternFill>
    </fill>
    <fill>
      <patternFill patternType="solid">
        <fgColor rgb="FFE6E6E6"/>
        <bgColor indexed="64"/>
      </patternFill>
    </fill>
    <fill>
      <patternFill patternType="solid">
        <fgColor rgb="FF828D93"/>
        <bgColor indexed="64"/>
      </patternFill>
    </fill>
    <fill>
      <patternFill patternType="solid">
        <fgColor theme="0"/>
        <bgColor indexed="64"/>
      </patternFill>
    </fill>
    <fill>
      <patternFill patternType="solid">
        <fgColor theme="9"/>
        <bgColor indexed="64"/>
      </patternFill>
    </fill>
    <fill>
      <patternFill patternType="solid">
        <fgColor theme="2"/>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22">
    <border>
      <left/>
      <right/>
      <top/>
      <bottom/>
      <diagonal/>
    </border>
    <border>
      <left style="thin">
        <color auto="1"/>
      </left>
      <right style="thin">
        <color auto="1"/>
      </right>
      <top style="thin">
        <color auto="1"/>
      </top>
      <bottom style="thin">
        <color auto="1"/>
      </bottom>
      <diagonal/>
    </border>
    <border>
      <left style="thin">
        <color auto="1"/>
      </left>
      <right style="thin">
        <color auto="1"/>
      </right>
      <top/>
      <bottom/>
      <diagonal/>
    </border>
    <border>
      <left style="thin">
        <color auto="1"/>
      </left>
      <right/>
      <top/>
      <bottom/>
      <diagonal/>
    </border>
    <border>
      <left/>
      <right style="thin">
        <color auto="1"/>
      </right>
      <top/>
      <bottom/>
      <diagonal/>
    </border>
    <border>
      <left style="thin">
        <color auto="1"/>
      </left>
      <right/>
      <top/>
      <bottom style="thin">
        <color auto="1"/>
      </bottom>
      <diagonal/>
    </border>
    <border>
      <left/>
      <right/>
      <top/>
      <bottom style="thin">
        <color auto="1"/>
      </bottom>
      <diagonal/>
    </border>
    <border>
      <left/>
      <right style="thin">
        <color auto="1"/>
      </right>
      <top/>
      <bottom style="thin">
        <color auto="1"/>
      </bottom>
      <diagonal/>
    </border>
    <border>
      <left/>
      <right/>
      <top style="thin">
        <color auto="1"/>
      </top>
      <bottom style="thin">
        <color auto="1"/>
      </bottom>
      <diagonal/>
    </border>
    <border>
      <left style="thin">
        <color auto="1"/>
      </left>
      <right/>
      <top style="thin">
        <color auto="1"/>
      </top>
      <bottom style="thin">
        <color auto="1"/>
      </bottom>
      <diagonal/>
    </border>
    <border>
      <left/>
      <right style="thin">
        <color auto="1"/>
      </right>
      <top style="thin">
        <color auto="1"/>
      </top>
      <bottom style="thin">
        <color auto="1"/>
      </bottom>
      <diagonal/>
    </border>
    <border>
      <left style="thin">
        <color auto="1"/>
      </left>
      <right/>
      <top style="thin">
        <color auto="1"/>
      </top>
      <bottom/>
      <diagonal/>
    </border>
    <border>
      <left/>
      <right/>
      <top style="thin">
        <color auto="1"/>
      </top>
      <bottom/>
      <diagonal/>
    </border>
    <border>
      <left/>
      <right style="thin">
        <color auto="1"/>
      </right>
      <top style="thin">
        <color auto="1"/>
      </top>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8" fillId="0" borderId="0" applyFont="0" applyFill="0" applyBorder="0" applyAlignment="0" applyProtection="0">
      <alignment vertical="center"/>
    </xf>
    <xf numFmtId="44" fontId="8" fillId="0" borderId="0" applyFont="0" applyFill="0" applyBorder="0" applyAlignment="0" applyProtection="0">
      <alignment vertical="center"/>
    </xf>
    <xf numFmtId="9" fontId="8" fillId="0" borderId="0" applyFont="0" applyFill="0" applyBorder="0" applyAlignment="0" applyProtection="0">
      <alignment vertical="center"/>
    </xf>
    <xf numFmtId="177" fontId="8" fillId="0" borderId="0" applyFont="0" applyFill="0" applyBorder="0" applyAlignment="0" applyProtection="0">
      <alignment vertical="center"/>
    </xf>
    <xf numFmtId="42" fontId="8" fillId="0" borderId="0" applyFont="0" applyFill="0" applyBorder="0" applyAlignment="0" applyProtection="0">
      <alignment vertical="center"/>
    </xf>
    <xf numFmtId="0" fontId="7" fillId="0" borderId="0" applyNumberFormat="0" applyFill="0" applyBorder="0" applyAlignment="0" applyProtection="0"/>
    <xf numFmtId="0" fontId="10" fillId="0" borderId="0" applyNumberFormat="0" applyFill="0" applyBorder="0" applyAlignment="0" applyProtection="0">
      <alignment vertical="center"/>
    </xf>
    <xf numFmtId="0" fontId="8" fillId="8" borderId="14" applyNumberFormat="0" applyFont="0" applyAlignment="0" applyProtection="0">
      <alignment vertical="center"/>
    </xf>
    <xf numFmtId="0" fontId="11" fillId="0" borderId="0" applyNumberFormat="0" applyFill="0" applyBorder="0" applyAlignment="0" applyProtection="0">
      <alignment vertical="center"/>
    </xf>
    <xf numFmtId="0" fontId="12" fillId="0" borderId="0" applyNumberFormat="0" applyFill="0" applyBorder="0" applyAlignment="0" applyProtection="0">
      <alignment vertical="center"/>
    </xf>
    <xf numFmtId="0" fontId="13" fillId="0" borderId="0" applyNumberFormat="0" applyFill="0" applyBorder="0" applyAlignment="0" applyProtection="0">
      <alignment vertical="center"/>
    </xf>
    <xf numFmtId="0" fontId="14" fillId="0" borderId="15" applyNumberFormat="0" applyFill="0" applyAlignment="0" applyProtection="0">
      <alignment vertical="center"/>
    </xf>
    <xf numFmtId="0" fontId="15" fillId="0" borderId="15" applyNumberFormat="0" applyFill="0" applyAlignment="0" applyProtection="0">
      <alignment vertical="center"/>
    </xf>
    <xf numFmtId="0" fontId="16" fillId="0" borderId="16" applyNumberFormat="0" applyFill="0" applyAlignment="0" applyProtection="0">
      <alignment vertical="center"/>
    </xf>
    <xf numFmtId="0" fontId="16" fillId="0" borderId="0" applyNumberFormat="0" applyFill="0" applyBorder="0" applyAlignment="0" applyProtection="0">
      <alignment vertical="center"/>
    </xf>
    <xf numFmtId="0" fontId="17" fillId="9" borderId="17" applyNumberFormat="0" applyAlignment="0" applyProtection="0">
      <alignment vertical="center"/>
    </xf>
    <xf numFmtId="0" fontId="18" fillId="10" borderId="18" applyNumberFormat="0" applyAlignment="0" applyProtection="0">
      <alignment vertical="center"/>
    </xf>
    <xf numFmtId="0" fontId="19" fillId="10" borderId="17" applyNumberFormat="0" applyAlignment="0" applyProtection="0">
      <alignment vertical="center"/>
    </xf>
    <xf numFmtId="0" fontId="20" fillId="11" borderId="19" applyNumberFormat="0" applyAlignment="0" applyProtection="0">
      <alignment vertical="center"/>
    </xf>
    <xf numFmtId="0" fontId="21" fillId="0" borderId="20" applyNumberFormat="0" applyFill="0" applyAlignment="0" applyProtection="0">
      <alignment vertical="center"/>
    </xf>
    <xf numFmtId="0" fontId="22" fillId="0" borderId="21" applyNumberFormat="0" applyFill="0" applyAlignment="0" applyProtection="0">
      <alignment vertical="center"/>
    </xf>
    <xf numFmtId="0" fontId="23" fillId="12" borderId="0" applyNumberFormat="0" applyBorder="0" applyAlignment="0" applyProtection="0">
      <alignment vertical="center"/>
    </xf>
    <xf numFmtId="0" fontId="24" fillId="13" borderId="0" applyNumberFormat="0" applyBorder="0" applyAlignment="0" applyProtection="0">
      <alignment vertical="center"/>
    </xf>
    <xf numFmtId="0" fontId="25" fillId="14" borderId="0" applyNumberFormat="0" applyBorder="0" applyAlignment="0" applyProtection="0">
      <alignment vertical="center"/>
    </xf>
    <xf numFmtId="0" fontId="26" fillId="15" borderId="0" applyNumberFormat="0" applyBorder="0" applyAlignment="0" applyProtection="0">
      <alignment vertical="center"/>
    </xf>
    <xf numFmtId="0" fontId="27" fillId="16" borderId="0" applyNumberFormat="0" applyBorder="0" applyAlignment="0" applyProtection="0">
      <alignment vertical="center"/>
    </xf>
    <xf numFmtId="0" fontId="27" fillId="17" borderId="0" applyNumberFormat="0" applyBorder="0" applyAlignment="0" applyProtection="0">
      <alignment vertical="center"/>
    </xf>
    <xf numFmtId="0" fontId="26" fillId="18" borderId="0" applyNumberFormat="0" applyBorder="0" applyAlignment="0" applyProtection="0">
      <alignment vertical="center"/>
    </xf>
    <xf numFmtId="0" fontId="26" fillId="19" borderId="0" applyNumberFormat="0" applyBorder="0" applyAlignment="0" applyProtection="0">
      <alignment vertical="center"/>
    </xf>
    <xf numFmtId="0" fontId="27" fillId="20" borderId="0" applyNumberFormat="0" applyBorder="0" applyAlignment="0" applyProtection="0">
      <alignment vertical="center"/>
    </xf>
    <xf numFmtId="0" fontId="27" fillId="21" borderId="0" applyNumberFormat="0" applyBorder="0" applyAlignment="0" applyProtection="0">
      <alignment vertical="center"/>
    </xf>
    <xf numFmtId="0" fontId="26" fillId="22" borderId="0" applyNumberFormat="0" applyBorder="0" applyAlignment="0" applyProtection="0">
      <alignment vertical="center"/>
    </xf>
    <xf numFmtId="0" fontId="26" fillId="23" borderId="0" applyNumberFormat="0" applyBorder="0" applyAlignment="0" applyProtection="0">
      <alignment vertical="center"/>
    </xf>
    <xf numFmtId="0" fontId="27" fillId="24" borderId="0" applyNumberFormat="0" applyBorder="0" applyAlignment="0" applyProtection="0">
      <alignment vertical="center"/>
    </xf>
    <xf numFmtId="0" fontId="27" fillId="25" borderId="0" applyNumberFormat="0" applyBorder="0" applyAlignment="0" applyProtection="0">
      <alignment vertical="center"/>
    </xf>
    <xf numFmtId="0" fontId="26" fillId="26" borderId="0" applyNumberFormat="0" applyBorder="0" applyAlignment="0" applyProtection="0">
      <alignment vertical="center"/>
    </xf>
    <xf numFmtId="0" fontId="26" fillId="27" borderId="0" applyNumberFormat="0" applyBorder="0" applyAlignment="0" applyProtection="0">
      <alignment vertical="center"/>
    </xf>
    <xf numFmtId="0" fontId="27" fillId="28" borderId="0" applyNumberFormat="0" applyBorder="0" applyAlignment="0" applyProtection="0">
      <alignment vertical="center"/>
    </xf>
    <xf numFmtId="0" fontId="27" fillId="29" borderId="0" applyNumberFormat="0" applyBorder="0" applyAlignment="0" applyProtection="0">
      <alignment vertical="center"/>
    </xf>
    <xf numFmtId="0" fontId="26" fillId="30" borderId="0" applyNumberFormat="0" applyBorder="0" applyAlignment="0" applyProtection="0">
      <alignment vertical="center"/>
    </xf>
    <xf numFmtId="0" fontId="26" fillId="31" borderId="0" applyNumberFormat="0" applyBorder="0" applyAlignment="0" applyProtection="0">
      <alignment vertical="center"/>
    </xf>
    <xf numFmtId="0" fontId="27" fillId="32" borderId="0" applyNumberFormat="0" applyBorder="0" applyAlignment="0" applyProtection="0">
      <alignment vertical="center"/>
    </xf>
    <xf numFmtId="0" fontId="27" fillId="33" borderId="0" applyNumberFormat="0" applyBorder="0" applyAlignment="0" applyProtection="0">
      <alignment vertical="center"/>
    </xf>
    <xf numFmtId="0" fontId="26" fillId="34" borderId="0" applyNumberFormat="0" applyBorder="0" applyAlignment="0" applyProtection="0">
      <alignment vertical="center"/>
    </xf>
    <xf numFmtId="0" fontId="26" fillId="6" borderId="0" applyNumberFormat="0" applyBorder="0" applyAlignment="0" applyProtection="0">
      <alignment vertical="center"/>
    </xf>
    <xf numFmtId="0" fontId="27" fillId="35" borderId="0" applyNumberFormat="0" applyBorder="0" applyAlignment="0" applyProtection="0">
      <alignment vertical="center"/>
    </xf>
    <xf numFmtId="0" fontId="8" fillId="36" borderId="0" applyNumberFormat="0" applyBorder="0" applyAlignment="0" applyProtection="0"/>
    <xf numFmtId="0" fontId="26" fillId="37" borderId="0" applyNumberFormat="0" applyBorder="0" applyAlignment="0" applyProtection="0">
      <alignment vertical="center"/>
    </xf>
  </cellStyleXfs>
  <cellXfs count="83">
    <xf numFmtId="0" fontId="0" fillId="0" borderId="0" xfId="0"/>
    <xf numFmtId="0" fontId="1" fillId="2" borderId="1" xfId="0" applyFont="1" applyFill="1" applyBorder="1" applyAlignment="1">
      <alignment vertical="center"/>
    </xf>
    <xf numFmtId="0" fontId="1" fillId="2" borderId="2" xfId="0" applyFont="1" applyFill="1" applyBorder="1" applyAlignment="1">
      <alignment vertical="center"/>
    </xf>
    <xf numFmtId="0" fontId="0" fillId="3" borderId="0" xfId="0" applyFont="1" applyFill="1"/>
    <xf numFmtId="0" fontId="0" fillId="3" borderId="0" xfId="0" applyFill="1"/>
    <xf numFmtId="0" fontId="0" fillId="0" borderId="0" xfId="0" applyAlignment="1">
      <alignment vertical="top" wrapText="1"/>
    </xf>
    <xf numFmtId="0" fontId="1" fillId="2" borderId="1" xfId="0" applyFont="1" applyFill="1" applyBorder="1" applyAlignment="1">
      <alignment horizontal="center" vertical="center"/>
    </xf>
    <xf numFmtId="0" fontId="1" fillId="2" borderId="1" xfId="0" applyFont="1" applyFill="1" applyBorder="1" applyAlignment="1">
      <alignment horizontal="center" vertical="top"/>
    </xf>
    <xf numFmtId="0" fontId="2" fillId="3" borderId="0" xfId="0" applyFont="1" applyFill="1" applyAlignment="1">
      <alignment vertical="top"/>
    </xf>
    <xf numFmtId="0" fontId="0" fillId="3" borderId="0" xfId="0" applyFont="1" applyFill="1" applyAlignment="1">
      <alignment vertical="top" wrapText="1"/>
    </xf>
    <xf numFmtId="0" fontId="3" fillId="3" borderId="3" xfId="0" applyFont="1" applyFill="1" applyBorder="1" applyAlignment="1">
      <alignment horizontal="left" vertical="center"/>
    </xf>
    <xf numFmtId="0" fontId="0" fillId="3" borderId="0" xfId="0" applyFill="1" applyAlignment="1">
      <alignment vertical="top" wrapText="1"/>
    </xf>
    <xf numFmtId="0" fontId="4" fillId="3" borderId="0" xfId="0" applyFont="1" applyFill="1" applyAlignment="1">
      <alignment vertical="top"/>
    </xf>
    <xf numFmtId="0" fontId="5" fillId="2" borderId="1" xfId="0" applyFont="1" applyFill="1" applyBorder="1" applyAlignment="1">
      <alignment vertical="center"/>
    </xf>
    <xf numFmtId="0" fontId="0" fillId="3" borderId="4" xfId="0" applyFill="1" applyBorder="1"/>
    <xf numFmtId="0" fontId="0" fillId="3" borderId="3" xfId="0" applyFill="1" applyBorder="1"/>
    <xf numFmtId="0" fontId="0" fillId="3" borderId="5" xfId="0" applyFill="1" applyBorder="1"/>
    <xf numFmtId="0" fontId="0" fillId="3" borderId="6" xfId="0" applyFill="1" applyBorder="1"/>
    <xf numFmtId="0" fontId="0" fillId="3" borderId="7" xfId="0" applyFill="1" applyBorder="1"/>
    <xf numFmtId="0" fontId="0" fillId="3" borderId="8" xfId="0" applyFill="1" applyBorder="1"/>
    <xf numFmtId="0" fontId="6" fillId="4" borderId="9" xfId="0" applyFont="1" applyFill="1" applyBorder="1" applyAlignment="1">
      <alignment horizontal="left" vertical="center" wrapText="1"/>
    </xf>
    <xf numFmtId="0" fontId="6" fillId="4" borderId="8" xfId="0" applyFont="1" applyFill="1" applyBorder="1" applyAlignment="1">
      <alignment horizontal="left" vertical="center" wrapText="1"/>
    </xf>
    <xf numFmtId="0" fontId="6" fillId="4" borderId="10" xfId="0" applyFont="1" applyFill="1" applyBorder="1" applyAlignment="1">
      <alignment horizontal="left" vertical="center" wrapText="1"/>
    </xf>
    <xf numFmtId="0" fontId="0" fillId="3" borderId="11" xfId="0" applyFill="1" applyBorder="1"/>
    <xf numFmtId="0" fontId="0" fillId="3" borderId="12" xfId="0" applyFill="1" applyBorder="1"/>
    <xf numFmtId="0" fontId="0" fillId="3" borderId="13" xfId="0" applyFill="1" applyBorder="1"/>
    <xf numFmtId="0" fontId="0" fillId="3" borderId="12" xfId="0" applyFont="1" applyFill="1" applyBorder="1"/>
    <xf numFmtId="0" fontId="6" fillId="4" borderId="11" xfId="0" applyFont="1" applyFill="1" applyBorder="1" applyAlignment="1">
      <alignment horizontal="left" vertical="center" wrapText="1"/>
    </xf>
    <xf numFmtId="0" fontId="6" fillId="4" borderId="12" xfId="0" applyFont="1" applyFill="1" applyBorder="1" applyAlignment="1">
      <alignment horizontal="left" vertical="center" wrapText="1"/>
    </xf>
    <xf numFmtId="0" fontId="6" fillId="4" borderId="13" xfId="0" applyFont="1" applyFill="1" applyBorder="1" applyAlignment="1">
      <alignment horizontal="left" vertical="center" wrapText="1"/>
    </xf>
    <xf numFmtId="0" fontId="0" fillId="3" borderId="9" xfId="0" applyFill="1" applyBorder="1"/>
    <xf numFmtId="0" fontId="0" fillId="2" borderId="0" xfId="0" applyFill="1"/>
    <xf numFmtId="0" fontId="0" fillId="5" borderId="0" xfId="0" applyFill="1"/>
    <xf numFmtId="0" fontId="0" fillId="0" borderId="3" xfId="0" applyBorder="1" applyAlignment="1">
      <alignment horizontal="left" vertical="center"/>
    </xf>
    <xf numFmtId="0" fontId="0" fillId="0" borderId="0" xfId="0" applyAlignment="1">
      <alignment horizontal="center" vertical="center"/>
    </xf>
    <xf numFmtId="0" fontId="0" fillId="0" borderId="4" xfId="0" applyFont="1" applyBorder="1" applyAlignment="1">
      <alignment vertical="center"/>
    </xf>
    <xf numFmtId="0" fontId="5" fillId="2" borderId="1" xfId="0" applyFont="1" applyFill="1" applyBorder="1" applyAlignment="1">
      <alignment horizontal="left" vertical="center"/>
    </xf>
    <xf numFmtId="0" fontId="5" fillId="2" borderId="1" xfId="0" applyFont="1" applyFill="1" applyBorder="1" applyAlignment="1">
      <alignment horizontal="center" vertical="center"/>
    </xf>
    <xf numFmtId="0" fontId="3" fillId="3" borderId="11" xfId="0" applyFont="1" applyFill="1" applyBorder="1" applyAlignment="1">
      <alignment horizontal="left" vertical="center"/>
    </xf>
    <xf numFmtId="0" fontId="4" fillId="3" borderId="12" xfId="0" applyFont="1" applyFill="1" applyBorder="1" applyAlignment="1">
      <alignment horizontal="center" vertical="center" wrapText="1"/>
    </xf>
    <xf numFmtId="0" fontId="4" fillId="3" borderId="0" xfId="0" applyFont="1" applyFill="1" applyAlignment="1">
      <alignment vertical="center" wrapText="1"/>
    </xf>
    <xf numFmtId="0" fontId="4" fillId="3" borderId="0" xfId="0" applyFont="1" applyFill="1" applyAlignment="1">
      <alignment horizontal="center" vertical="center" wrapText="1"/>
    </xf>
    <xf numFmtId="0" fontId="6" fillId="3" borderId="3" xfId="0" applyFont="1" applyFill="1" applyBorder="1" applyAlignment="1">
      <alignment horizontal="left" vertical="center"/>
    </xf>
    <xf numFmtId="0" fontId="0" fillId="3" borderId="0" xfId="0" applyFont="1" applyFill="1" applyAlignment="1">
      <alignment horizontal="center" vertical="center" wrapText="1"/>
    </xf>
    <xf numFmtId="0" fontId="0" fillId="3" borderId="4" xfId="0" applyFont="1" applyFill="1" applyBorder="1" applyAlignment="1">
      <alignment vertical="center"/>
    </xf>
    <xf numFmtId="0" fontId="4" fillId="6" borderId="0" xfId="0" applyFont="1" applyFill="1" applyAlignment="1">
      <alignment horizontal="center" vertical="center" wrapText="1"/>
    </xf>
    <xf numFmtId="0" fontId="0" fillId="6" borderId="0" xfId="0" applyFill="1"/>
    <xf numFmtId="0" fontId="0" fillId="7" borderId="0" xfId="0" applyFill="1"/>
    <xf numFmtId="0" fontId="0" fillId="6" borderId="0" xfId="0" applyFill="1" applyAlignment="1">
      <alignment horizontal="center"/>
    </xf>
    <xf numFmtId="0" fontId="0" fillId="7" borderId="0" xfId="0" applyFill="1" applyAlignment="1">
      <alignment horizontal="center"/>
    </xf>
    <xf numFmtId="0" fontId="6" fillId="5" borderId="3" xfId="0" applyFont="1" applyFill="1" applyBorder="1" applyAlignment="1">
      <alignment horizontal="left" vertical="center"/>
    </xf>
    <xf numFmtId="0" fontId="0" fillId="5" borderId="0" xfId="0" applyFill="1" applyAlignment="1">
      <alignment horizontal="center"/>
    </xf>
    <xf numFmtId="0" fontId="4" fillId="5" borderId="0" xfId="0" applyFont="1" applyFill="1" applyAlignment="1">
      <alignment horizontal="center" vertical="center" wrapText="1"/>
    </xf>
    <xf numFmtId="0" fontId="0" fillId="5" borderId="4" xfId="0" applyFont="1" applyFill="1" applyBorder="1" applyAlignment="1">
      <alignment vertical="center"/>
    </xf>
    <xf numFmtId="0" fontId="0" fillId="7" borderId="0" xfId="0" applyFill="1" applyAlignment="1">
      <alignment wrapText="1"/>
    </xf>
    <xf numFmtId="0" fontId="7" fillId="3" borderId="0" xfId="6" applyFill="1" applyAlignment="1">
      <alignment horizontal="center" vertical="center" wrapText="1"/>
    </xf>
    <xf numFmtId="0" fontId="6" fillId="0" borderId="3" xfId="0" applyFont="1" applyBorder="1" applyAlignment="1">
      <alignment horizontal="left" vertical="center"/>
    </xf>
    <xf numFmtId="0" fontId="4" fillId="0" borderId="0" xfId="0" applyFont="1" applyAlignment="1">
      <alignment horizontal="center" vertical="center" wrapText="1"/>
    </xf>
    <xf numFmtId="0" fontId="0" fillId="0" borderId="4" xfId="0" applyFont="1" applyBorder="1" applyAlignment="1">
      <alignment horizontal="left" vertical="center"/>
    </xf>
    <xf numFmtId="0" fontId="6" fillId="4" borderId="3" xfId="0" applyFont="1" applyFill="1" applyBorder="1" applyAlignment="1">
      <alignment horizontal="left" vertical="center" wrapText="1"/>
    </xf>
    <xf numFmtId="0" fontId="6" fillId="4" borderId="0" xfId="0" applyFont="1" applyFill="1" applyAlignment="1">
      <alignment horizontal="left" vertical="center" wrapText="1"/>
    </xf>
    <xf numFmtId="0" fontId="6" fillId="4" borderId="4" xfId="0" applyFont="1" applyFill="1" applyBorder="1" applyAlignment="1">
      <alignment horizontal="left" vertical="center" wrapText="1"/>
    </xf>
    <xf numFmtId="0" fontId="0" fillId="3" borderId="0" xfId="0" applyFill="1" applyAlignment="1">
      <alignment horizontal="center" vertical="center" wrapText="1"/>
    </xf>
    <xf numFmtId="0" fontId="4" fillId="3" borderId="4" xfId="0" applyFont="1" applyFill="1" applyBorder="1" applyAlignment="1">
      <alignment horizontal="left" vertical="center"/>
    </xf>
    <xf numFmtId="0" fontId="0" fillId="3" borderId="4" xfId="0" applyFont="1" applyFill="1" applyBorder="1" applyAlignment="1">
      <alignment horizontal="left" vertical="center"/>
    </xf>
    <xf numFmtId="0" fontId="0" fillId="3" borderId="4" xfId="0" applyFill="1" applyBorder="1" applyAlignment="1">
      <alignment horizontal="left" vertical="center"/>
    </xf>
    <xf numFmtId="0" fontId="0" fillId="0" borderId="0" xfId="0" applyAlignment="1">
      <alignment horizontal="center" vertical="center" wrapText="1"/>
    </xf>
    <xf numFmtId="0" fontId="0" fillId="0" borderId="4" xfId="0" applyBorder="1" applyAlignment="1">
      <alignment horizontal="left" vertical="center"/>
    </xf>
    <xf numFmtId="0" fontId="8" fillId="3" borderId="0" xfId="47" applyFill="1" applyBorder="1" applyAlignment="1">
      <alignment horizontal="center"/>
    </xf>
    <xf numFmtId="0" fontId="0" fillId="3" borderId="0" xfId="0" applyFill="1" applyAlignment="1">
      <alignment horizontal="center"/>
    </xf>
    <xf numFmtId="0" fontId="3" fillId="5" borderId="3" xfId="0" applyFont="1" applyFill="1" applyBorder="1" applyAlignment="1">
      <alignment horizontal="left" vertical="center"/>
    </xf>
    <xf numFmtId="0" fontId="0" fillId="5" borderId="4" xfId="0" applyFont="1" applyFill="1" applyBorder="1" applyAlignment="1">
      <alignment horizontal="left" vertical="center"/>
    </xf>
    <xf numFmtId="0" fontId="0" fillId="0" borderId="0" xfId="0" applyFill="1"/>
    <xf numFmtId="0" fontId="4" fillId="3" borderId="0" xfId="0" applyFont="1" applyFill="1" applyAlignment="1">
      <alignment horizontal="center" vertical="top" wrapText="1"/>
    </xf>
    <xf numFmtId="0" fontId="3" fillId="0" borderId="3" xfId="0" applyFont="1" applyBorder="1" applyAlignment="1">
      <alignment horizontal="left" vertical="center"/>
    </xf>
    <xf numFmtId="0" fontId="7" fillId="3" borderId="0" xfId="6" applyFill="1" applyBorder="1" applyAlignment="1">
      <alignment horizontal="center"/>
    </xf>
    <xf numFmtId="0" fontId="8" fillId="3" borderId="0" xfId="47" applyFont="1" applyFill="1" applyBorder="1" applyAlignment="1">
      <alignment horizontal="center"/>
    </xf>
    <xf numFmtId="0" fontId="0" fillId="3" borderId="0" xfId="0" applyFill="1" applyAlignment="1">
      <alignment horizontal="center" vertical="top" wrapText="1"/>
    </xf>
    <xf numFmtId="0" fontId="0" fillId="0" borderId="0" xfId="0" applyFont="1" applyAlignment="1">
      <alignment horizontal="center" vertical="center" wrapText="1"/>
    </xf>
    <xf numFmtId="0" fontId="4" fillId="0" borderId="4" xfId="0" applyFont="1" applyBorder="1" applyAlignment="1">
      <alignment horizontal="left" vertical="center"/>
    </xf>
    <xf numFmtId="0" fontId="0" fillId="3" borderId="0" xfId="0" applyFill="1" applyAlignment="1">
      <alignment horizontal="center" wrapText="1"/>
    </xf>
    <xf numFmtId="0" fontId="4" fillId="0" borderId="3" xfId="0" applyFont="1" applyBorder="1" applyAlignment="1">
      <alignment horizontal="left" vertical="center"/>
    </xf>
    <xf numFmtId="0" fontId="9" fillId="0" borderId="4" xfId="0" applyFont="1" applyBorder="1" applyAlignment="1">
      <alignment horizontal="left" vertical="center"/>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C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2" defaultPivotStyle="PivotStyleLight16"/>
  <colors>
    <mruColors>
      <color rgb="00214FED"/>
      <color rgb="006F7FFA"/>
      <color rgb="00E6E6E6"/>
      <color rgb="00828D93"/>
      <color rgb="00C6F3F6"/>
      <color rgb="0099E9EF"/>
      <color rgb="001FC1CC"/>
      <color rgb="0000F3FF"/>
      <color rgb="0073FDFE"/>
      <color rgb="002154ED"/>
    </mruColors>
  </colors>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9" Type="http://schemas.openxmlformats.org/officeDocument/2006/relationships/styles" Target="styles.xml"/><Relationship Id="rId8" Type="http://schemas.openxmlformats.org/officeDocument/2006/relationships/sharedStrings" Target="sharedStrings.xml"/><Relationship Id="rId7" Type="http://schemas.openxmlformats.org/officeDocument/2006/relationships/theme" Target="theme/theme1.xml"/><Relationship Id="rId6" Type="http://schemas.openxmlformats.org/officeDocument/2006/relationships/worksheet" Target="worksheets/sheet6.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Thème Office 2013 – 2022">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hyperlink" Target="mailto:fkinedieng.ext@fdjunited.com" TargetMode="External"/></Relationships>
</file>

<file path=xl/worksheets/_rels/sheet2.xml.rels><?xml version="1.0" encoding="UTF-8" standalone="yes"?>
<Relationships xmlns="http://schemas.openxmlformats.org/package/2006/relationships"><Relationship Id="rId1" Type="http://schemas.openxmlformats.org/officeDocument/2006/relationships/hyperlink" Target="mailto:fkinedieng.ext@fdjunited.com" TargetMode="Externa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82"/>
  <sheetViews>
    <sheetView showGridLines="0" workbookViewId="0">
      <pane ySplit="1" topLeftCell="A2" activePane="bottomLeft" state="frozen"/>
      <selection/>
      <selection pane="bottomLeft" activeCell="B20" sqref="B20"/>
    </sheetView>
  </sheetViews>
  <sheetFormatPr defaultColWidth="14.4571428571429" defaultRowHeight="15" customHeight="1" outlineLevelCol="4"/>
  <cols>
    <col min="1" max="1" width="50.5428571428571" style="33" customWidth="1"/>
    <col min="2" max="2" width="49.8190476190476" style="34" customWidth="1"/>
    <col min="3" max="3" width="28.7238095238095" style="34" customWidth="1"/>
    <col min="4" max="4" width="28.4571428571429" style="34" customWidth="1"/>
    <col min="5" max="5" width="130.266666666667" style="58" customWidth="1"/>
  </cols>
  <sheetData>
    <row r="1" s="31" customFormat="1" ht="15.65" customHeight="1" spans="1:5">
      <c r="A1" s="36" t="s">
        <v>0</v>
      </c>
      <c r="B1" s="37" t="s">
        <v>1</v>
      </c>
      <c r="C1" s="37" t="s">
        <v>2</v>
      </c>
      <c r="D1" s="37" t="s">
        <v>3</v>
      </c>
      <c r="E1" s="36" t="s">
        <v>4</v>
      </c>
    </row>
    <row r="2" ht="15.65" customHeight="1" spans="1:5">
      <c r="A2" s="59" t="s">
        <v>5</v>
      </c>
      <c r="B2" s="60"/>
      <c r="C2" s="60"/>
      <c r="D2" s="60"/>
      <c r="E2" s="61"/>
    </row>
    <row r="3" ht="14.25" customHeight="1" spans="1:5">
      <c r="A3" s="42" t="s">
        <v>6</v>
      </c>
      <c r="B3" s="43" t="s">
        <v>7</v>
      </c>
      <c r="C3" s="62"/>
      <c r="D3" s="62"/>
      <c r="E3" s="63" t="s">
        <v>8</v>
      </c>
    </row>
    <row r="4" ht="14.25" customHeight="1" spans="1:5">
      <c r="A4" s="42" t="s">
        <v>9</v>
      </c>
      <c r="B4" s="62" t="s">
        <v>10</v>
      </c>
      <c r="C4" s="62"/>
      <c r="D4" s="62"/>
      <c r="E4" s="63" t="s">
        <v>11</v>
      </c>
    </row>
    <row r="5" ht="14.25" customHeight="1" spans="1:5">
      <c r="A5" s="42" t="s">
        <v>12</v>
      </c>
      <c r="B5" s="41" t="s">
        <v>13</v>
      </c>
      <c r="C5" s="41"/>
      <c r="D5" s="41"/>
      <c r="E5" s="64" t="s">
        <v>14</v>
      </c>
    </row>
    <row r="6" ht="14.25" customHeight="1" spans="1:5">
      <c r="A6" s="42" t="s">
        <v>15</v>
      </c>
      <c r="B6" s="41" t="s">
        <v>16</v>
      </c>
      <c r="C6" s="41"/>
      <c r="D6" s="41"/>
      <c r="E6" s="64" t="s">
        <v>17</v>
      </c>
    </row>
    <row r="7" ht="14.25" customHeight="1" spans="1:5">
      <c r="A7" s="42" t="s">
        <v>18</v>
      </c>
      <c r="B7" s="41" t="s">
        <v>19</v>
      </c>
      <c r="C7" s="41"/>
      <c r="D7" s="41"/>
      <c r="E7" s="65" t="s">
        <v>20</v>
      </c>
    </row>
    <row r="8" ht="14.25" customHeight="1" spans="1:5">
      <c r="A8" s="42" t="s">
        <v>21</v>
      </c>
      <c r="B8" s="41" t="s">
        <v>22</v>
      </c>
      <c r="C8" s="41"/>
      <c r="D8" s="41"/>
      <c r="E8" s="64" t="s">
        <v>23</v>
      </c>
    </row>
    <row r="9" ht="14.25" customHeight="1" spans="1:5">
      <c r="A9" s="42" t="s">
        <v>24</v>
      </c>
      <c r="B9" s="43" t="s">
        <v>25</v>
      </c>
      <c r="C9" s="43"/>
      <c r="D9" s="43"/>
      <c r="E9" s="64" t="s">
        <v>26</v>
      </c>
    </row>
    <row r="10" ht="14.25" customHeight="1" spans="2:5">
      <c r="B10" s="66"/>
      <c r="C10" s="66"/>
      <c r="D10" s="66"/>
      <c r="E10" s="67"/>
    </row>
    <row r="11" ht="14.25" customHeight="1" spans="1:5">
      <c r="A11" s="59" t="s">
        <v>27</v>
      </c>
      <c r="B11" s="60"/>
      <c r="C11" s="60"/>
      <c r="D11" s="60"/>
      <c r="E11" s="61"/>
    </row>
    <row r="12" ht="14.25" customHeight="1" spans="1:5">
      <c r="A12" s="42" t="s">
        <v>28</v>
      </c>
      <c r="B12" s="45" t="s">
        <v>29</v>
      </c>
      <c r="C12" s="41" t="s">
        <v>29</v>
      </c>
      <c r="D12" s="41"/>
      <c r="E12" s="64" t="s">
        <v>30</v>
      </c>
    </row>
    <row r="13" ht="14.25" customHeight="1" spans="1:5">
      <c r="A13" s="42" t="s">
        <v>31</v>
      </c>
      <c r="B13" s="45" t="s">
        <v>32</v>
      </c>
      <c r="C13" s="41" t="s">
        <v>32</v>
      </c>
      <c r="D13" s="41"/>
      <c r="E13" s="64" t="s">
        <v>33</v>
      </c>
    </row>
    <row r="14" ht="14.25" customHeight="1" spans="1:5">
      <c r="A14" s="42" t="s">
        <v>34</v>
      </c>
      <c r="B14" s="68" t="s">
        <v>35</v>
      </c>
      <c r="C14" s="69"/>
      <c r="D14" s="69"/>
      <c r="E14" s="64" t="s">
        <v>36</v>
      </c>
    </row>
    <row r="15" ht="14.25" customHeight="1" spans="1:5">
      <c r="A15" s="42" t="s">
        <v>37</v>
      </c>
      <c r="B15" s="41" t="s">
        <v>32</v>
      </c>
      <c r="C15" s="41" t="s">
        <v>32</v>
      </c>
      <c r="D15" s="41"/>
      <c r="E15" s="44"/>
    </row>
    <row r="16" ht="14.25" customHeight="1" spans="1:5">
      <c r="A16" s="10" t="s">
        <v>38</v>
      </c>
      <c r="B16" s="41" t="b">
        <v>0</v>
      </c>
      <c r="C16" s="41"/>
      <c r="D16" s="41"/>
      <c r="E16" s="64" t="s">
        <v>39</v>
      </c>
    </row>
    <row r="17" ht="14.25" customHeight="1" spans="1:5">
      <c r="A17" s="10" t="s">
        <v>40</v>
      </c>
      <c r="B17" s="41" t="s">
        <v>41</v>
      </c>
      <c r="C17" s="41"/>
      <c r="D17" s="41"/>
      <c r="E17" s="64" t="s">
        <v>42</v>
      </c>
    </row>
    <row r="18" ht="14.25" customHeight="1" spans="1:5">
      <c r="A18" s="10" t="s">
        <v>43</v>
      </c>
      <c r="B18" s="41" t="s">
        <v>44</v>
      </c>
      <c r="C18" s="41"/>
      <c r="D18" s="41"/>
      <c r="E18" s="64"/>
    </row>
    <row r="19" ht="14.25" customHeight="1" spans="1:5">
      <c r="A19" s="10" t="s">
        <v>45</v>
      </c>
      <c r="B19" s="41" t="s">
        <v>46</v>
      </c>
      <c r="C19" s="41"/>
      <c r="D19" s="41"/>
      <c r="E19" s="64"/>
    </row>
    <row r="20" customFormat="1" ht="14.25" customHeight="1" spans="1:5">
      <c r="A20" s="10" t="s">
        <v>47</v>
      </c>
      <c r="B20" s="45" t="s">
        <v>48</v>
      </c>
      <c r="C20" s="41" t="s">
        <v>48</v>
      </c>
      <c r="D20" s="41"/>
      <c r="E20" s="64"/>
    </row>
    <row r="21" s="32" customFormat="1" ht="14.25" customHeight="1" spans="1:5">
      <c r="A21" s="70"/>
      <c r="B21" s="52"/>
      <c r="C21" s="52"/>
      <c r="D21" s="52"/>
      <c r="E21" s="71"/>
    </row>
    <row r="22" ht="14.25" customHeight="1" spans="1:5">
      <c r="A22" s="59" t="s">
        <v>49</v>
      </c>
      <c r="B22" s="60"/>
      <c r="C22" s="60"/>
      <c r="D22" s="60"/>
      <c r="E22" s="61"/>
    </row>
    <row r="23" ht="14.25" customHeight="1" spans="1:5">
      <c r="A23" s="42"/>
      <c r="B23" s="72"/>
      <c r="C23" s="72"/>
      <c r="D23" s="41"/>
      <c r="E23" s="64"/>
    </row>
    <row r="24" s="32" customFormat="1" ht="14.25" customHeight="1" spans="1:5">
      <c r="A24" s="70"/>
      <c r="B24" s="52"/>
      <c r="C24" s="52"/>
      <c r="D24" s="52"/>
      <c r="E24" s="71"/>
    </row>
    <row r="25" ht="14.25" customHeight="1" spans="1:5">
      <c r="A25" s="42" t="s">
        <v>50</v>
      </c>
      <c r="B25" s="41" t="b">
        <v>1</v>
      </c>
      <c r="C25" s="41" t="b">
        <v>0</v>
      </c>
      <c r="D25" s="41"/>
      <c r="E25" s="64" t="s">
        <v>51</v>
      </c>
    </row>
    <row r="26" ht="14.25" customHeight="1" spans="1:5">
      <c r="A26" s="42" t="s">
        <v>52</v>
      </c>
      <c r="B26" s="73" t="str">
        <f>IF(B9="English",LanguageSettings!$B2,IF(B9="Spanish",LanguageSettings!$D2,LanguageSettings!$C2))</f>
        <v>L’exécution du travail a rencontré une exception système, veuillez consulter le fichier journal et le rapport d’expédition</v>
      </c>
      <c r="C26" s="73"/>
      <c r="D26" s="73"/>
      <c r="E26" s="63" t="s">
        <v>53</v>
      </c>
    </row>
    <row r="27" ht="14.25" customHeight="1" spans="1:5">
      <c r="A27" s="74"/>
      <c r="B27" s="66"/>
      <c r="C27" s="66"/>
      <c r="D27" s="66"/>
      <c r="E27" s="67"/>
    </row>
    <row r="28" ht="14.25" customHeight="1" spans="1:5">
      <c r="A28" s="59" t="s">
        <v>54</v>
      </c>
      <c r="B28" s="60"/>
      <c r="C28" s="60"/>
      <c r="D28" s="60"/>
      <c r="E28" s="61"/>
    </row>
    <row r="29" ht="14.25" customHeight="1" spans="1:5">
      <c r="A29" s="10" t="s">
        <v>55</v>
      </c>
      <c r="B29" s="41" t="s">
        <v>56</v>
      </c>
      <c r="C29" s="41"/>
      <c r="D29" s="41"/>
      <c r="E29" s="64" t="s">
        <v>57</v>
      </c>
    </row>
    <row r="30" ht="14.25" customHeight="1" spans="1:5">
      <c r="A30" s="42" t="s">
        <v>58</v>
      </c>
      <c r="B30" s="43" t="s">
        <v>59</v>
      </c>
      <c r="C30" s="75"/>
      <c r="D30" s="43" t="s">
        <v>59</v>
      </c>
      <c r="E30" s="64" t="s">
        <v>60</v>
      </c>
    </row>
    <row r="31" ht="14.25" customHeight="1" spans="1:5">
      <c r="A31" s="42" t="s">
        <v>61</v>
      </c>
      <c r="B31" s="62"/>
      <c r="C31" s="75"/>
      <c r="D31" s="69"/>
      <c r="E31" s="64" t="s">
        <v>62</v>
      </c>
    </row>
    <row r="32" ht="14.25" customHeight="1" spans="1:5">
      <c r="A32" s="42" t="s">
        <v>63</v>
      </c>
      <c r="B32" s="62"/>
      <c r="C32" s="75"/>
      <c r="D32" s="69"/>
      <c r="E32" s="64" t="s">
        <v>64</v>
      </c>
    </row>
    <row r="33" ht="14.25" customHeight="1" spans="1:5">
      <c r="A33" s="42" t="s">
        <v>65</v>
      </c>
      <c r="B33" s="76" t="s">
        <v>25</v>
      </c>
      <c r="C33" s="69"/>
      <c r="D33" s="69"/>
      <c r="E33" s="64" t="s">
        <v>66</v>
      </c>
    </row>
    <row r="34" ht="14.25" customHeight="1" spans="1:5">
      <c r="A34" s="10" t="s">
        <v>67</v>
      </c>
      <c r="B34" s="41" t="b">
        <v>0</v>
      </c>
      <c r="C34" s="41"/>
      <c r="D34" s="41"/>
      <c r="E34" s="64" t="s">
        <v>68</v>
      </c>
    </row>
    <row r="35" ht="14.25" customHeight="1" spans="1:5">
      <c r="A35" s="42" t="s">
        <v>69</v>
      </c>
      <c r="B35" s="41"/>
      <c r="C35" s="41"/>
      <c r="D35" s="41"/>
      <c r="E35" s="64" t="s">
        <v>70</v>
      </c>
    </row>
    <row r="36" ht="14.25" customHeight="1" spans="1:5">
      <c r="A36" s="42" t="s">
        <v>71</v>
      </c>
      <c r="B36" s="41"/>
      <c r="C36" s="41"/>
      <c r="D36" s="41"/>
      <c r="E36" s="63" t="s">
        <v>72</v>
      </c>
    </row>
    <row r="37" ht="14.25" customHeight="1" spans="1:5">
      <c r="A37" s="42" t="s">
        <v>73</v>
      </c>
      <c r="B37" s="41" t="s">
        <v>74</v>
      </c>
      <c r="C37" s="41" t="s">
        <v>75</v>
      </c>
      <c r="D37" s="41" t="s">
        <v>75</v>
      </c>
      <c r="E37" s="63" t="s">
        <v>76</v>
      </c>
    </row>
    <row r="38" ht="14.25" customHeight="1" spans="1:5">
      <c r="A38" s="42" t="s">
        <v>77</v>
      </c>
      <c r="B38" s="73">
        <v>25</v>
      </c>
      <c r="C38" s="73"/>
      <c r="D38" s="73"/>
      <c r="E38" s="63" t="s">
        <v>78</v>
      </c>
    </row>
    <row r="39" ht="14.25" customHeight="1" spans="1:5">
      <c r="A39" s="42" t="s">
        <v>79</v>
      </c>
      <c r="B39" s="73"/>
      <c r="C39" s="73"/>
      <c r="D39" s="73"/>
      <c r="E39" s="63"/>
    </row>
    <row r="40" ht="13.9" customHeight="1" spans="1:4">
      <c r="A40" s="56"/>
      <c r="D40" s="66"/>
    </row>
    <row r="41" ht="15.65" customHeight="1" spans="1:5">
      <c r="A41" s="42" t="s">
        <v>80</v>
      </c>
      <c r="B41" s="77" t="s">
        <v>81</v>
      </c>
      <c r="C41" s="62"/>
      <c r="D41" s="62"/>
      <c r="E41" s="64"/>
    </row>
    <row r="42" ht="13.9" customHeight="1" spans="1:5">
      <c r="A42" s="42" t="s">
        <v>82</v>
      </c>
      <c r="B42" s="43" t="s">
        <v>83</v>
      </c>
      <c r="C42" s="62"/>
      <c r="D42" s="62"/>
      <c r="E42" s="64" t="s">
        <v>84</v>
      </c>
    </row>
    <row r="43" ht="13.9" customHeight="1" spans="1:4">
      <c r="A43" s="56"/>
      <c r="D43" s="66"/>
    </row>
    <row r="44" ht="14.25" customHeight="1" spans="1:5">
      <c r="A44" s="42" t="s">
        <v>85</v>
      </c>
      <c r="B44" s="41" t="b">
        <v>1</v>
      </c>
      <c r="C44" s="41" t="b">
        <v>0</v>
      </c>
      <c r="D44" s="41"/>
      <c r="E44" s="63"/>
    </row>
    <row r="45" ht="14.25" customHeight="1" spans="1:5">
      <c r="A45" s="10" t="s">
        <v>86</v>
      </c>
      <c r="B45" s="43" t="str">
        <f>SUBSTITUTE(IF(B9="English",LanguageSettings!$B3,IF(B9="Spanish",LanguageSettings!$D3,LanguageSettings!$C3)),"%ProcessName%",B3)</f>
        <v>189_HR_Workday_Casiers_Judiciaires - Status Report</v>
      </c>
      <c r="C45" s="43" t="str">
        <f>"DEV - "&amp;SUBSTITUTE(IF(B9="English",LanguageSettings!$B3,IF(B9="Spanish",LanguageSettings!$D3,LanguageSettings!$C3)),"%ProcessName%",B3)</f>
        <v>DEV - 189_HR_Workday_Casiers_Judiciaires - Status Report</v>
      </c>
      <c r="D45" s="43" t="str">
        <f>"INT - "&amp;SUBSTITUTE(IF(B9="English",LanguageSettings!$B3,IF(B9="Spanish",LanguageSettings!$D3,LanguageSettings!$C3)),"%ProcessName%",B3)</f>
        <v>INT - 189_HR_Workday_Casiers_Judiciaires - Status Report</v>
      </c>
      <c r="E45" s="63" t="s">
        <v>87</v>
      </c>
    </row>
    <row r="46" ht="13.9" customHeight="1" spans="1:5">
      <c r="A46" s="10" t="s">
        <v>88</v>
      </c>
      <c r="B46" s="43" t="str">
        <f>IF(B9="English",LanguageSettings!$B4,IF(B9="Spanish",LanguageSettings!$D4,LanguageSettings!$C4))</f>
        <v>&lt;p&gt;Vous trouverez le rapport de dispatch joint à ce mail. 
%SRSummary%&lt;/p&gt;</v>
      </c>
      <c r="C46" s="43"/>
      <c r="D46" s="43"/>
      <c r="E46" s="63" t="s">
        <v>89</v>
      </c>
    </row>
    <row r="47" ht="14.25" customHeight="1" spans="1:5">
      <c r="A47" s="10" t="s">
        <v>90</v>
      </c>
      <c r="B47" s="43" t="str">
        <f>IF(B9="English",LanguageSettings!$B5,IF(B9="Spanish",LanguageSettings!$D5,LanguageSettings!$C5))</f>
        <v>&lt;p&gt;Le processus s’est arrêté après avoir atteint le nombre maximum d’erreurs inattendues autorisées. Vous trouverez le rapport de dispatch joint à ce mail.&lt;/p&gt;</v>
      </c>
      <c r="C47" s="43"/>
      <c r="D47" s="43"/>
      <c r="E47" s="63" t="s">
        <v>91</v>
      </c>
    </row>
    <row r="48" ht="13.9" customHeight="1" spans="1:5">
      <c r="A48" s="10" t="s">
        <v>92</v>
      </c>
      <c r="B48" s="43" t="str">
        <f>IF(B9="English",LanguageSettings!$B6,IF(B9="Spanish",LanguageSettings!$D6,LanguageSettings!$C6))</f>
        <v>&lt;p&gt;Résumé : &lt;br&gt;Au total, {0} Transaction(s) ont été traitées. {1} Transaction(s) ont réussi et {2} Transaction(s) n’ont pas réussi. &lt;br&gt;&lt;br&gt;Anomalies : {3}&lt;/p&gt;</v>
      </c>
      <c r="C48" s="75"/>
      <c r="D48" s="69"/>
      <c r="E48" s="63" t="s">
        <v>93</v>
      </c>
    </row>
    <row r="49" ht="14.25" customHeight="1" spans="1:5">
      <c r="A49" s="10" t="s">
        <v>94</v>
      </c>
      <c r="B49" s="43" t="str">
        <f>IF(B9="English",LanguageSettings!$B7,IF(B9="Spanish",LanguageSettings!$D7,LanguageSettings!$C7))</f>
        <v>&lt;p&gt;Résumé : &lt;br&gt;Aucune donnée de transaction n’a été trouvée. Veuillez vérifier le processus pour plus de détails.&lt;/p&gt;</v>
      </c>
      <c r="C49" s="43"/>
      <c r="D49" s="43"/>
      <c r="E49" s="63" t="s">
        <v>95</v>
      </c>
    </row>
    <row r="50" ht="14.25" customHeight="1" spans="1:5">
      <c r="A50" s="42" t="s">
        <v>96</v>
      </c>
      <c r="B50" s="43" t="s">
        <v>59</v>
      </c>
      <c r="C50" s="55" t="s">
        <v>97</v>
      </c>
      <c r="D50" s="43" t="s">
        <v>59</v>
      </c>
      <c r="E50" s="64" t="s">
        <v>98</v>
      </c>
    </row>
    <row r="51" ht="14.25" customHeight="1" spans="1:5">
      <c r="A51" s="10" t="s">
        <v>99</v>
      </c>
      <c r="B51" s="43" t="s">
        <v>100</v>
      </c>
      <c r="C51" s="43"/>
      <c r="D51" s="43"/>
      <c r="E51" s="63" t="s">
        <v>101</v>
      </c>
    </row>
    <row r="52" ht="14.25" customHeight="1" spans="1:5">
      <c r="A52" s="10" t="s">
        <v>102</v>
      </c>
      <c r="B52" s="43"/>
      <c r="C52" s="43"/>
      <c r="D52" s="43"/>
      <c r="E52" s="63" t="s">
        <v>103</v>
      </c>
    </row>
    <row r="53" ht="14.25" customHeight="1" spans="1:5">
      <c r="A53" s="10" t="s">
        <v>104</v>
      </c>
      <c r="B53" s="43">
        <v>3</v>
      </c>
      <c r="C53" s="43"/>
      <c r="D53" s="43"/>
      <c r="E53" s="63" t="s">
        <v>105</v>
      </c>
    </row>
    <row r="54" ht="14.25" customHeight="1" spans="1:5">
      <c r="A54" s="10"/>
      <c r="B54" s="43"/>
      <c r="C54" s="43"/>
      <c r="D54" s="43"/>
      <c r="E54" s="63"/>
    </row>
    <row r="55" ht="14.25" customHeight="1" spans="1:5">
      <c r="A55" s="10" t="s">
        <v>106</v>
      </c>
      <c r="B55" s="43" t="s">
        <v>107</v>
      </c>
      <c r="C55" s="43"/>
      <c r="D55" s="43"/>
      <c r="E55" s="63" t="s">
        <v>108</v>
      </c>
    </row>
    <row r="56" ht="14.25" customHeight="1" spans="1:5">
      <c r="A56" s="10" t="s">
        <v>109</v>
      </c>
      <c r="B56" s="43" t="s">
        <v>110</v>
      </c>
      <c r="C56" s="43"/>
      <c r="D56" s="43"/>
      <c r="E56" s="63" t="s">
        <v>111</v>
      </c>
    </row>
    <row r="57" ht="14.25" customHeight="1" spans="1:5">
      <c r="A57" s="10" t="s">
        <v>112</v>
      </c>
      <c r="B57" s="43" t="s">
        <v>113</v>
      </c>
      <c r="C57" s="43"/>
      <c r="D57" s="43"/>
      <c r="E57" s="63" t="s">
        <v>114</v>
      </c>
    </row>
    <row r="58" ht="14.25" customHeight="1" spans="1:5">
      <c r="A58" s="10" t="s">
        <v>115</v>
      </c>
      <c r="B58" s="41" t="b">
        <v>0</v>
      </c>
      <c r="C58" s="43"/>
      <c r="D58" s="43"/>
      <c r="E58" s="63" t="s">
        <v>116</v>
      </c>
    </row>
    <row r="59" ht="14.25" customHeight="1" spans="1:5">
      <c r="A59" s="10" t="s">
        <v>117</v>
      </c>
      <c r="B59" s="41" t="s">
        <v>118</v>
      </c>
      <c r="C59" s="43"/>
      <c r="D59" s="43"/>
      <c r="E59" s="63" t="s">
        <v>119</v>
      </c>
    </row>
    <row r="60" ht="14.25" customHeight="1" spans="1:5">
      <c r="A60" s="74"/>
      <c r="B60" s="78"/>
      <c r="C60" s="78"/>
      <c r="D60" s="78"/>
      <c r="E60" s="79"/>
    </row>
    <row r="61" ht="14.25" customHeight="1" spans="1:5">
      <c r="A61" s="10" t="s">
        <v>120</v>
      </c>
      <c r="B61" s="41" t="b">
        <v>1</v>
      </c>
      <c r="C61" s="41" t="b">
        <v>0</v>
      </c>
      <c r="D61" s="41"/>
      <c r="E61" s="63"/>
    </row>
    <row r="62" ht="14.25" customHeight="1" spans="1:5">
      <c r="A62" s="10" t="s">
        <v>121</v>
      </c>
      <c r="B62" s="43" t="str">
        <f>SUBSTITUTE(IF(B9="English",LanguageSettings!$B10,IF(B9="Spanish",LanguageSettings!$D10,LanguageSettings!$C10)),"%ProcessName%",B3)</f>
        <v>189_HR_Workday_Casiers_Judiciaires - System Exception</v>
      </c>
      <c r="C62" s="43" t="str">
        <f>"DEV - "&amp;SUBSTITUTE(IF(B9="English",LanguageSettings!$B10,IF(B9="Spanish",LanguageSettings!$D10,LanguageSettings!$C10)),"%ProcessName%",B3)</f>
        <v>DEV - 189_HR_Workday_Casiers_Judiciaires - System Exception</v>
      </c>
      <c r="D62" s="43" t="str">
        <f>"INT - "&amp;SUBSTITUTE(IF(B9="English",LanguageSettings!$B10,IF(B9="Spanish",LanguageSettings!$D10,LanguageSettings!$C10)),"%ProcessName%",B3)</f>
        <v>INT - 189_HR_Workday_Casiers_Judiciaires - System Exception</v>
      </c>
      <c r="E62" s="64" t="s">
        <v>122</v>
      </c>
    </row>
    <row r="63" ht="14.25" customHeight="1" spans="1:5">
      <c r="A63" s="10" t="s">
        <v>123</v>
      </c>
      <c r="B63" s="43" t="str">
        <f>IF(B9="English",LanguageSettings!$B11,IF(B9="Spanish",LanguageSettings!$D11,LanguageSettings!$C11))</f>
        <v>&lt;p&gt;Le %Process% a été interrompu en raison d’une erreur inattendue lors de l’étape d’initialisation. Veuillez informer votre personne de contact RPA.&lt;/p&gt; </v>
      </c>
      <c r="C63" s="43"/>
      <c r="D63" s="43"/>
      <c r="E63" s="64" t="s">
        <v>124</v>
      </c>
    </row>
    <row r="64" ht="14.25" customHeight="1" spans="1:5">
      <c r="A64" s="42" t="s">
        <v>125</v>
      </c>
      <c r="B64" s="43" t="str">
        <f>IF(B9="English",LanguageSettings!$B12,IF(B9="Spanish",LanguageSettings!$D12,LanguageSettings!$C12))</f>
        <v>&lt;p&gt;La transaction avec l’ID %ID% , avec le collaborateur
 %COLLABORATEUR% , a été interrompue, en raison d’une erreur inattendue. Une capture d’écran et un fichier journal sont joints à ce courrier. Le processus se poursuivra avec la prochaine transaction. Vous recevrez un rapport d’état lorsque toutes les transactions seront traitées. &lt;p&gt;Message - Détails du processus:&lt;br /&gt;%ErrorMessage%&lt;/p&gt; &lt;p&gt;Message - Source de l’activité:&lt;br /&gt;%ErrorSource%&lt;/p&gt; &lt;/p&gt;</v>
      </c>
      <c r="C64" s="43"/>
      <c r="D64" s="43"/>
      <c r="E64" s="64" t="s">
        <v>126</v>
      </c>
    </row>
    <row r="65" ht="14.25" customHeight="1" spans="1:5">
      <c r="A65" s="42" t="s">
        <v>127</v>
      </c>
      <c r="B65" s="43" t="s">
        <v>59</v>
      </c>
      <c r="C65" s="55" t="s">
        <v>97</v>
      </c>
      <c r="D65" s="43" t="s">
        <v>59</v>
      </c>
      <c r="E65" s="64" t="s">
        <v>128</v>
      </c>
    </row>
    <row r="66" ht="14.25" customHeight="1" spans="1:5">
      <c r="A66" s="10" t="s">
        <v>129</v>
      </c>
      <c r="B66" s="43" t="s">
        <v>100</v>
      </c>
      <c r="C66" s="80"/>
      <c r="D66" s="80"/>
      <c r="E66" s="64" t="s">
        <v>130</v>
      </c>
    </row>
    <row r="67" ht="14.25" customHeight="1" spans="1:5">
      <c r="A67" s="10" t="s">
        <v>131</v>
      </c>
      <c r="B67" s="80"/>
      <c r="C67" s="80"/>
      <c r="D67" s="80"/>
      <c r="E67" s="64" t="s">
        <v>132</v>
      </c>
    </row>
    <row r="68" ht="14.25" customHeight="1" spans="1:4">
      <c r="A68" s="74"/>
      <c r="B68" s="66"/>
      <c r="C68" s="66"/>
      <c r="D68" s="66"/>
    </row>
    <row r="69" ht="14.25" customHeight="1" spans="1:5">
      <c r="A69" s="10" t="s">
        <v>133</v>
      </c>
      <c r="B69" s="41" t="b">
        <v>1</v>
      </c>
      <c r="C69" s="41" t="b">
        <v>0</v>
      </c>
      <c r="D69" s="41"/>
      <c r="E69" s="64"/>
    </row>
    <row r="70" ht="14.25" customHeight="1" spans="1:5">
      <c r="A70" s="42" t="s">
        <v>134</v>
      </c>
      <c r="B70" s="43" t="str">
        <f>SUBSTITUTE(IF(B9="English",LanguageSettings!$B13,IF(B9="Spanish",LanguageSettings!$D13,LanguageSettings!$C13)),"%ProcessName%",B3)</f>
        <v>189_HR_Workday_Casiers_Judiciaires - Casier judiciaire non lisible par le robot pour le collaborateur %COLLABORATEUR% , Matricule : %MATRICULE% - Business Rule Exception</v>
      </c>
      <c r="C70" s="43" t="str">
        <f>"DEV - "&amp;SUBSTITUTE(IF(B9="English",LanguageSettings!$B13,IF(B9="Spanish",LanguageSettings!$D13,LanguageSettings!$C13)),"%ProcessName%",B3)</f>
        <v>DEV - 189_HR_Workday_Casiers_Judiciaires - Casier judiciaire non lisible par le robot pour le collaborateur %COLLABORATEUR% , Matricule : %MATRICULE% - Business Rule Exception</v>
      </c>
      <c r="D70" s="43" t="str">
        <f>"INT - "&amp;SUBSTITUTE(IF(B9="English",LanguageSettings!$B13,IF(B9="Spanish",LanguageSettings!$D13,LanguageSettings!$C13)),"%ProcessName%",B3)</f>
        <v>INT - 189_HR_Workday_Casiers_Judiciaires - Casier judiciaire non lisible par le robot pour le collaborateur %COLLABORATEUR% , Matricule : %MATRICULE% - Business Rule Exception</v>
      </c>
      <c r="E70" s="64" t="s">
        <v>135</v>
      </c>
    </row>
    <row r="71" ht="14.25" customHeight="1" spans="1:5">
      <c r="A71" s="42" t="s">
        <v>136</v>
      </c>
      <c r="B71" s="62" t="str">
        <f>IF(B9="English",LanguageSettings!$B14,IF(B9="Spanish",LanguageSettings!$D14,LanguageSettings!$C14))</f>
        <v>&lt;p&gt;La transaction avec l’ID %ID% , avec le collaborateur
 %COLLABORATEUR% ,  a été interrompue, en raison d’une erreur définie. Le processus se poursuivra avec la prochaine transaction. Vous recevrez un rapport d’état lorsque toutes les transactions seront traitées. &lt;p&gt;Cause de l’erreur:&lt;br /&gt;%ErrorMessage%&lt;/p&gt;&lt;/p&gt;</v>
      </c>
      <c r="C71" s="62"/>
      <c r="D71" s="62"/>
      <c r="E71" s="64"/>
    </row>
    <row r="72" ht="14.25" customHeight="1" spans="1:5">
      <c r="A72" s="42" t="s">
        <v>137</v>
      </c>
      <c r="B72" s="43" t="s">
        <v>59</v>
      </c>
      <c r="C72" s="55" t="s">
        <v>97</v>
      </c>
      <c r="D72" s="43" t="s">
        <v>59</v>
      </c>
      <c r="E72" s="64" t="s">
        <v>138</v>
      </c>
    </row>
    <row r="73" ht="14.25" customHeight="1" spans="1:5">
      <c r="A73" s="42" t="s">
        <v>139</v>
      </c>
      <c r="B73" t="s">
        <v>140</v>
      </c>
      <c r="C73" s="41"/>
      <c r="D73" s="41"/>
      <c r="E73" s="64" t="s">
        <v>141</v>
      </c>
    </row>
    <row r="74" ht="14.25" customHeight="1" spans="1:5">
      <c r="A74" s="10" t="s">
        <v>142</v>
      </c>
      <c r="B74" s="41"/>
      <c r="C74" s="41"/>
      <c r="D74" s="41"/>
      <c r="E74" s="64" t="s">
        <v>143</v>
      </c>
    </row>
    <row r="75" ht="14.25" customHeight="1" spans="1:5">
      <c r="A75" s="81"/>
      <c r="B75" s="57"/>
      <c r="C75" s="57"/>
      <c r="D75" s="57"/>
      <c r="E75" s="82"/>
    </row>
    <row r="76" ht="14.25" customHeight="1" spans="1:5">
      <c r="A76" s="10" t="s">
        <v>144</v>
      </c>
      <c r="B76" s="41" t="b">
        <v>0</v>
      </c>
      <c r="C76" s="41" t="b">
        <v>0</v>
      </c>
      <c r="D76" s="41"/>
      <c r="E76" s="64" t="s">
        <v>145</v>
      </c>
    </row>
    <row r="77" ht="14.25" customHeight="1" spans="1:5">
      <c r="A77" s="42" t="s">
        <v>146</v>
      </c>
      <c r="B77" s="43" t="str">
        <f>SUBSTITUTE(IF(B9="English",LanguageSettings!$B8,IF(B9="Spanish",LanguageSettings!$D8,LanguageSettings!$C8)),"%Process%",B3)</f>
        <v>189_HR_Workday_Casiers_Judiciaires - Process Started</v>
      </c>
      <c r="C77" s="43" t="str">
        <f>"DEV - "&amp;SUBSTITUTE(IF(B9="English",LanguageSettings!$B8,IF(B9="Spanish",LanguageSettings!$D8,LanguageSettings!$C8)),"%Process%",B3)</f>
        <v>DEV - 189_HR_Workday_Casiers_Judiciaires - Process Started</v>
      </c>
      <c r="D77" s="43" t="str">
        <f>"INT - "&amp;SUBSTITUTE(IF(B9="English",LanguageSettings!$B8,IF(B9="Spanish",LanguageSettings!$D8,LanguageSettings!$C8)),"%Process%",B3)</f>
        <v>INT - 189_HR_Workday_Casiers_Judiciaires - Process Started</v>
      </c>
      <c r="E77" s="64" t="s">
        <v>147</v>
      </c>
    </row>
    <row r="78" ht="14.25" customHeight="1" spans="1:5">
      <c r="A78" s="42" t="s">
        <v>148</v>
      </c>
      <c r="B78" s="43" t="str">
        <f>IF(B9="English",LanguageSettings!$B9,IF(B9="Spanish",LanguageSettings!$D9,LanguageSettings!$C9))</f>
        <v>&lt;p&gt;Le processus d’exécution a démarré avec succès et va maintenant commencer à traiter les éléments de travail dans la file d’attente (s’il y en a).&lt;/p&gt;</v>
      </c>
      <c r="C78" s="62"/>
      <c r="D78" s="62"/>
      <c r="E78" s="64" t="s">
        <v>149</v>
      </c>
    </row>
    <row r="79" ht="14.25" customHeight="1" spans="1:5">
      <c r="A79" s="42" t="s">
        <v>150</v>
      </c>
      <c r="B79" s="43" t="s">
        <v>59</v>
      </c>
      <c r="C79" s="55" t="s">
        <v>97</v>
      </c>
      <c r="D79" s="43" t="s">
        <v>59</v>
      </c>
      <c r="E79" s="64" t="s">
        <v>151</v>
      </c>
    </row>
    <row r="80" ht="14.25" customHeight="1" spans="1:5">
      <c r="A80" s="42" t="s">
        <v>152</v>
      </c>
      <c r="B80" t="s">
        <v>100</v>
      </c>
      <c r="C80" s="41"/>
      <c r="D80" s="41"/>
      <c r="E80" s="64" t="s">
        <v>153</v>
      </c>
    </row>
    <row r="81" ht="14.25" customHeight="1" spans="1:5">
      <c r="A81" s="10" t="s">
        <v>154</v>
      </c>
      <c r="B81" s="43"/>
      <c r="C81" s="41"/>
      <c r="D81" s="41"/>
      <c r="E81" s="64" t="s">
        <v>155</v>
      </c>
    </row>
    <row r="82" s="33" customFormat="1" ht="14.25" customHeight="1" spans="2:5">
      <c r="B82" s="34"/>
      <c r="C82" s="34"/>
      <c r="D82" s="34"/>
      <c r="E82" s="58"/>
    </row>
  </sheetData>
  <mergeCells count="4">
    <mergeCell ref="A2:E2"/>
    <mergeCell ref="A11:E11"/>
    <mergeCell ref="A22:E22"/>
    <mergeCell ref="A28:E28"/>
  </mergeCells>
  <dataValidations count="4">
    <dataValidation type="list" allowBlank="1" showInputMessage="1" showErrorMessage="1" sqref="B4:D4">
      <formula1>DataValidation!$C$2:$C$3</formula1>
    </dataValidation>
    <dataValidation type="list" allowBlank="1" showInputMessage="1" showErrorMessage="1" sqref="B9:D9">
      <formula1>DataValidation!$A$2:$A$4</formula1>
    </dataValidation>
    <dataValidation type="list" allowBlank="1" showInputMessage="1" showErrorMessage="1" sqref="B16:D16 B25:D25 B34:D34 B44:D44 B61:D61 B69:D69">
      <formula1>DataValidation!$B$2:$B$3</formula1>
    </dataValidation>
    <dataValidation type="list" allowBlank="1" showInputMessage="1" showErrorMessage="1" sqref="B29:D29">
      <formula1>DataValidation!$D$2:$D$4</formula1>
    </dataValidation>
  </dataValidations>
  <hyperlinks>
    <hyperlink ref="C65" r:id="rId1" display="fkinedieng.ext@fdjunited.com"/>
    <hyperlink ref="C72" r:id="rId1" display="fkinedieng.ext@fdjunited.com"/>
    <hyperlink ref="C79" r:id="rId1" display="fkinedieng.ext@fdjunited.com"/>
    <hyperlink ref="C50" r:id="rId1" display="fkinedieng.ext@fdjunited.com"/>
  </hyperlinks>
  <pageMargins left="0.7" right="0.7" top="0.75" bottom="0.75" header="0.3" footer="0.3"/>
  <pageSetup paperSize="9" orientation="portrait"/>
  <headerFooter>
    <oddFooter>&amp;C
&amp;1#&amp;"verdana"&amp;8&amp;K282D87 RESTREINT</oddFooter>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N89"/>
  <sheetViews>
    <sheetView showGridLines="0" tabSelected="1" workbookViewId="0">
      <pane ySplit="1" topLeftCell="A13" activePane="bottomLeft" state="frozen"/>
      <selection/>
      <selection pane="bottomLeft" activeCell="A28" sqref="A28"/>
    </sheetView>
  </sheetViews>
  <sheetFormatPr defaultColWidth="14.4571428571429" defaultRowHeight="15" customHeight="1"/>
  <cols>
    <col min="1" max="1" width="41.1809523809524" style="33" customWidth="1"/>
    <col min="2" max="2" width="112.266666666667" style="34" customWidth="1"/>
    <col min="3" max="3" width="30.3619047619048" style="34" customWidth="1"/>
    <col min="4" max="4" width="36.7238095238095" style="34" customWidth="1"/>
    <col min="5" max="5" width="214.266666666667" style="35" customWidth="1"/>
  </cols>
  <sheetData>
    <row r="1" s="31" customFormat="1" ht="15.65" customHeight="1" spans="1:5">
      <c r="A1" s="36" t="s">
        <v>0</v>
      </c>
      <c r="B1" s="37" t="s">
        <v>1</v>
      </c>
      <c r="C1" s="37" t="s">
        <v>2</v>
      </c>
      <c r="D1" s="37" t="s">
        <v>3</v>
      </c>
      <c r="E1" s="13" t="s">
        <v>4</v>
      </c>
    </row>
    <row r="2" ht="14.25" customHeight="1" spans="1:14">
      <c r="A2" s="38" t="s">
        <v>156</v>
      </c>
      <c r="B2" s="39" t="s">
        <v>157</v>
      </c>
      <c r="C2" s="39"/>
      <c r="D2" s="39"/>
      <c r="E2" s="40" t="s">
        <v>158</v>
      </c>
      <c r="F2" s="41"/>
      <c r="G2" s="41"/>
      <c r="H2" s="41"/>
      <c r="I2" s="41"/>
      <c r="J2" s="41"/>
      <c r="K2" s="41"/>
      <c r="L2" s="41"/>
      <c r="M2" s="41"/>
      <c r="N2" s="41"/>
    </row>
    <row r="3" ht="14.25" customHeight="1" spans="1:14">
      <c r="A3" s="10" t="s">
        <v>159</v>
      </c>
      <c r="B3" s="41" t="s">
        <v>160</v>
      </c>
      <c r="C3" s="41"/>
      <c r="D3" s="41"/>
      <c r="E3" s="40" t="s">
        <v>158</v>
      </c>
      <c r="F3" s="41"/>
      <c r="G3" s="41"/>
      <c r="H3" s="41"/>
      <c r="I3" s="41"/>
      <c r="J3" s="41"/>
      <c r="K3" s="41"/>
      <c r="L3" s="41"/>
      <c r="M3" s="41"/>
      <c r="N3" s="41"/>
    </row>
    <row r="4" ht="14.25" customHeight="1" spans="1:14">
      <c r="A4" s="10" t="s">
        <v>161</v>
      </c>
      <c r="B4" s="41" t="s">
        <v>157</v>
      </c>
      <c r="C4" s="41"/>
      <c r="D4" s="41"/>
      <c r="E4" s="40" t="s">
        <v>158</v>
      </c>
      <c r="F4" s="41"/>
      <c r="G4" s="41"/>
      <c r="H4" s="41"/>
      <c r="I4" s="41"/>
      <c r="J4" s="41"/>
      <c r="K4" s="41"/>
      <c r="L4" s="41"/>
      <c r="M4" s="41"/>
      <c r="N4" s="41"/>
    </row>
    <row r="5" ht="14.25" customHeight="1" spans="1:14">
      <c r="A5" s="42" t="s">
        <v>162</v>
      </c>
      <c r="B5" s="41" t="s">
        <v>163</v>
      </c>
      <c r="C5" s="41"/>
      <c r="D5" s="41"/>
      <c r="E5" s="40"/>
      <c r="F5" s="41"/>
      <c r="G5" s="41"/>
      <c r="H5" s="41"/>
      <c r="I5" s="41"/>
      <c r="J5" s="41"/>
      <c r="K5" s="41"/>
      <c r="L5" s="41"/>
      <c r="M5" s="41"/>
      <c r="N5" s="41"/>
    </row>
    <row r="6" ht="14.25" customHeight="1" spans="1:14">
      <c r="A6" s="42" t="s">
        <v>164</v>
      </c>
      <c r="B6" s="43" t="s">
        <v>165</v>
      </c>
      <c r="C6" s="41"/>
      <c r="D6" s="41"/>
      <c r="E6" s="40"/>
      <c r="F6" s="41"/>
      <c r="G6" s="41"/>
      <c r="H6" s="41"/>
      <c r="I6" s="41"/>
      <c r="J6" s="41"/>
      <c r="K6" s="41"/>
      <c r="L6" s="41"/>
      <c r="M6" s="41"/>
      <c r="N6" s="41"/>
    </row>
    <row r="7" ht="14.25" customHeight="1" spans="1:14">
      <c r="A7" s="42" t="s">
        <v>166</v>
      </c>
      <c r="B7" t="s">
        <v>59</v>
      </c>
      <c r="C7" s="41"/>
      <c r="D7" s="41"/>
      <c r="E7" s="40"/>
      <c r="F7" s="41"/>
      <c r="G7" s="41"/>
      <c r="H7" s="41"/>
      <c r="I7" s="41"/>
      <c r="J7" s="41"/>
      <c r="K7" s="41"/>
      <c r="L7" s="41"/>
      <c r="M7" s="41"/>
      <c r="N7" s="41"/>
    </row>
    <row r="8" ht="14.25" customHeight="1" spans="1:5">
      <c r="A8" s="42" t="s">
        <v>167</v>
      </c>
      <c r="B8" s="41" t="s">
        <v>168</v>
      </c>
      <c r="C8" s="41" t="s">
        <v>169</v>
      </c>
      <c r="D8" s="41" t="s">
        <v>170</v>
      </c>
      <c r="E8" s="44"/>
    </row>
    <row r="9" ht="14.25" customHeight="1" spans="1:5">
      <c r="A9" s="42" t="s">
        <v>171</v>
      </c>
      <c r="B9" s="41" t="s">
        <v>172</v>
      </c>
      <c r="C9" s="41"/>
      <c r="D9" s="41"/>
      <c r="E9" s="44"/>
    </row>
    <row r="10" ht="14.25" customHeight="1" spans="1:5">
      <c r="A10" s="42" t="s">
        <v>173</v>
      </c>
      <c r="B10" s="41" t="s">
        <v>174</v>
      </c>
      <c r="C10" s="41" t="s">
        <v>175</v>
      </c>
      <c r="D10" s="41" t="s">
        <v>176</v>
      </c>
      <c r="E10" s="44"/>
    </row>
    <row r="11" ht="14.25" customHeight="1" spans="1:5">
      <c r="A11" s="42" t="s">
        <v>177</v>
      </c>
      <c r="B11" s="41" t="s">
        <v>178</v>
      </c>
      <c r="C11" s="41"/>
      <c r="D11" s="41"/>
      <c r="E11" s="44"/>
    </row>
    <row r="12" ht="14.25" customHeight="1" spans="1:5">
      <c r="A12" s="42" t="s">
        <v>179</v>
      </c>
      <c r="B12" s="41" t="s">
        <v>180</v>
      </c>
      <c r="C12" s="41"/>
      <c r="D12" s="41"/>
      <c r="E12" s="44"/>
    </row>
    <row r="13" ht="14.25" customHeight="1" spans="1:5">
      <c r="A13" s="42" t="s">
        <v>181</v>
      </c>
      <c r="B13" s="41" t="s">
        <v>182</v>
      </c>
      <c r="C13" s="41"/>
      <c r="D13" s="41"/>
      <c r="E13" s="44"/>
    </row>
    <row r="14" ht="14.25" customHeight="1" spans="1:5">
      <c r="A14" s="42" t="s">
        <v>183</v>
      </c>
      <c r="B14" s="41" t="s">
        <v>184</v>
      </c>
      <c r="C14" s="41" t="s">
        <v>185</v>
      </c>
      <c r="D14" s="41" t="s">
        <v>186</v>
      </c>
      <c r="E14" s="44" t="s">
        <v>187</v>
      </c>
    </row>
    <row r="15" ht="14.25" customHeight="1" spans="1:5">
      <c r="A15" s="42" t="s">
        <v>188</v>
      </c>
      <c r="B15" s="41" t="s">
        <v>189</v>
      </c>
      <c r="C15" s="41"/>
      <c r="D15" s="41"/>
      <c r="E15" s="44"/>
    </row>
    <row r="17" ht="14.25" customHeight="1" spans="1:5">
      <c r="A17" s="42" t="s">
        <v>190</v>
      </c>
      <c r="B17" s="45" t="s">
        <v>191</v>
      </c>
      <c r="C17" s="41"/>
      <c r="D17" s="41"/>
      <c r="E17" s="44"/>
    </row>
    <row r="18" ht="14.25" customHeight="1" spans="1:5">
      <c r="A18" s="42" t="s">
        <v>192</v>
      </c>
      <c r="B18" s="45">
        <v>20</v>
      </c>
      <c r="C18" s="41"/>
      <c r="D18" s="41"/>
      <c r="E18" s="44"/>
    </row>
    <row r="19" ht="14.25" customHeight="1" spans="1:5">
      <c r="A19" s="42" t="s">
        <v>193</v>
      </c>
      <c r="B19" s="45" t="s">
        <v>194</v>
      </c>
      <c r="C19" s="41" t="s">
        <v>194</v>
      </c>
      <c r="D19" s="41"/>
      <c r="E19" s="44"/>
    </row>
    <row r="20" ht="14.25" customHeight="1" spans="1:5">
      <c r="A20" s="42" t="s">
        <v>195</v>
      </c>
      <c r="B20" s="45" t="s">
        <v>196</v>
      </c>
      <c r="C20" s="41" t="s">
        <v>196</v>
      </c>
      <c r="D20" s="41"/>
      <c r="E20" s="44"/>
    </row>
    <row r="21" ht="14.25" customHeight="1" spans="1:5">
      <c r="A21" s="42" t="s">
        <v>197</v>
      </c>
      <c r="B21" s="45" t="s">
        <v>198</v>
      </c>
      <c r="C21" s="41" t="s">
        <v>198</v>
      </c>
      <c r="D21" s="41"/>
      <c r="E21" s="44"/>
    </row>
    <row r="22" ht="14.25" customHeight="1" spans="1:5">
      <c r="A22" s="42" t="s">
        <v>199</v>
      </c>
      <c r="B22" s="45" t="s">
        <v>200</v>
      </c>
      <c r="C22" s="41" t="s">
        <v>200</v>
      </c>
      <c r="D22" s="41"/>
      <c r="E22" s="44"/>
    </row>
    <row r="23" ht="14.25" customHeight="1" spans="1:5">
      <c r="A23" s="42" t="s">
        <v>201</v>
      </c>
      <c r="B23" s="46" t="s">
        <v>202</v>
      </c>
      <c r="C23" s="47" t="s">
        <v>202</v>
      </c>
      <c r="D23" s="41"/>
      <c r="E23" s="44"/>
    </row>
    <row r="24" ht="14.25" customHeight="1" spans="1:5">
      <c r="A24" s="42" t="s">
        <v>203</v>
      </c>
      <c r="B24" s="46" t="s">
        <v>204</v>
      </c>
      <c r="C24" s="47" t="s">
        <v>204</v>
      </c>
      <c r="D24" s="41"/>
      <c r="E24" s="44"/>
    </row>
    <row r="25" ht="14.25" customHeight="1" spans="1:5">
      <c r="A25" s="42" t="s">
        <v>205</v>
      </c>
      <c r="B25" s="46" t="s">
        <v>206</v>
      </c>
      <c r="C25" s="47" t="s">
        <v>206</v>
      </c>
      <c r="D25" s="41"/>
      <c r="E25" s="44"/>
    </row>
    <row r="26" ht="14.25" customHeight="1" spans="1:5">
      <c r="A26" s="42" t="s">
        <v>207</v>
      </c>
      <c r="B26" s="46" t="s">
        <v>208</v>
      </c>
      <c r="C26" s="47" t="s">
        <v>208</v>
      </c>
      <c r="D26" s="41"/>
      <c r="E26" s="44"/>
    </row>
    <row r="27" ht="14.25" customHeight="1" spans="1:5">
      <c r="A27" s="42" t="s">
        <v>209</v>
      </c>
      <c r="B27" s="46" t="s">
        <v>210</v>
      </c>
      <c r="C27" s="47" t="s">
        <v>210</v>
      </c>
      <c r="D27" s="41"/>
      <c r="E27" s="44"/>
    </row>
    <row r="28" ht="14.25" customHeight="1" spans="1:5">
      <c r="A28" s="42" t="s">
        <v>211</v>
      </c>
      <c r="B28" s="46" t="s">
        <v>212</v>
      </c>
      <c r="C28" s="47" t="s">
        <v>212</v>
      </c>
      <c r="D28" s="41"/>
      <c r="E28" s="44"/>
    </row>
    <row r="29" ht="14.25" customHeight="1" spans="1:5">
      <c r="A29" s="42" t="s">
        <v>213</v>
      </c>
      <c r="B29" s="48">
        <v>0.5</v>
      </c>
      <c r="C29" s="49">
        <v>0.5</v>
      </c>
      <c r="D29" s="41"/>
      <c r="E29" s="44"/>
    </row>
    <row r="30" s="32" customFormat="1" ht="14.25" customHeight="1" spans="1:5">
      <c r="A30" s="50"/>
      <c r="B30" s="51"/>
      <c r="C30" s="51"/>
      <c r="D30" s="52"/>
      <c r="E30" s="53"/>
    </row>
    <row r="31" ht="14.25" customHeight="1" spans="1:5">
      <c r="A31" s="42" t="s">
        <v>214</v>
      </c>
      <c r="B31" s="46" t="s">
        <v>215</v>
      </c>
      <c r="C31" s="47" t="s">
        <v>215</v>
      </c>
      <c r="D31" s="41"/>
      <c r="E31" s="44"/>
    </row>
    <row r="32" ht="14.25" customHeight="1" spans="1:5">
      <c r="A32" s="42" t="s">
        <v>216</v>
      </c>
      <c r="B32" s="46" t="s">
        <v>217</v>
      </c>
      <c r="C32" s="47" t="s">
        <v>217</v>
      </c>
      <c r="D32" s="41"/>
      <c r="E32" s="44"/>
    </row>
    <row r="33" ht="14.25" customHeight="1" spans="1:5">
      <c r="A33" s="42" t="s">
        <v>218</v>
      </c>
      <c r="B33" s="46" t="s">
        <v>219</v>
      </c>
      <c r="C33" s="47" t="s">
        <v>219</v>
      </c>
      <c r="D33" s="41"/>
      <c r="E33" s="44"/>
    </row>
    <row r="34" ht="14.25" customHeight="1" spans="1:5">
      <c r="A34" s="42" t="s">
        <v>220</v>
      </c>
      <c r="B34" s="46" t="s">
        <v>221</v>
      </c>
      <c r="C34" s="47" t="s">
        <v>221</v>
      </c>
      <c r="D34" s="41"/>
      <c r="E34" s="44"/>
    </row>
    <row r="35" ht="14.25" customHeight="1" spans="1:5">
      <c r="A35" s="42" t="s">
        <v>222</v>
      </c>
      <c r="B35" s="46" t="s">
        <v>223</v>
      </c>
      <c r="C35" s="47" t="s">
        <v>223</v>
      </c>
      <c r="D35" s="41"/>
      <c r="E35" s="44"/>
    </row>
    <row r="36" s="32" customFormat="1" ht="14.25" customHeight="1" spans="1:5">
      <c r="A36" s="50"/>
      <c r="B36" s="32"/>
      <c r="C36" s="32"/>
      <c r="D36" s="52"/>
      <c r="E36" s="53"/>
    </row>
    <row r="37" ht="14.25" customHeight="1" spans="1:5">
      <c r="A37" s="42" t="s">
        <v>224</v>
      </c>
      <c r="B37" s="54" t="s">
        <v>225</v>
      </c>
      <c r="C37" s="54" t="s">
        <v>225</v>
      </c>
      <c r="D37" s="41"/>
      <c r="E37" s="44"/>
    </row>
    <row r="38" ht="14.25" customHeight="1" spans="1:5">
      <c r="A38" s="42" t="s">
        <v>226</v>
      </c>
      <c r="B38" s="47" t="s">
        <v>227</v>
      </c>
      <c r="C38" s="47" t="s">
        <v>227</v>
      </c>
      <c r="D38" s="41"/>
      <c r="E38" s="44"/>
    </row>
    <row r="39" ht="14.25" customHeight="1" spans="1:5">
      <c r="A39" s="42" t="s">
        <v>228</v>
      </c>
      <c r="B39" s="54" t="s">
        <v>229</v>
      </c>
      <c r="C39" s="54" t="s">
        <v>229</v>
      </c>
      <c r="D39" s="41"/>
      <c r="E39" s="44"/>
    </row>
    <row r="40" ht="14.25" customHeight="1" spans="1:5">
      <c r="A40" s="42" t="s">
        <v>230</v>
      </c>
      <c r="B40" s="47" t="s">
        <v>231</v>
      </c>
      <c r="C40" s="47" t="s">
        <v>231</v>
      </c>
      <c r="D40" s="41"/>
      <c r="E40" s="44"/>
    </row>
    <row r="41" ht="14.25" customHeight="1" spans="1:5">
      <c r="A41" s="42" t="s">
        <v>232</v>
      </c>
      <c r="B41" s="47" t="s">
        <v>231</v>
      </c>
      <c r="C41" s="47" t="s">
        <v>231</v>
      </c>
      <c r="D41" s="41"/>
      <c r="E41" s="44"/>
    </row>
    <row r="43" ht="14.25" customHeight="1" spans="1:5">
      <c r="A43" s="42" t="s">
        <v>233</v>
      </c>
      <c r="B43" s="41" t="s">
        <v>234</v>
      </c>
      <c r="C43" s="41"/>
      <c r="D43" s="41"/>
      <c r="E43" s="44"/>
    </row>
    <row r="44" ht="14.25" customHeight="1" spans="1:5">
      <c r="A44" s="42" t="s">
        <v>235</v>
      </c>
      <c r="B44" s="41" t="s">
        <v>236</v>
      </c>
      <c r="C44" s="41"/>
      <c r="D44" s="41"/>
      <c r="E44" s="44"/>
    </row>
    <row r="45" ht="14.25" customHeight="1" spans="1:5">
      <c r="A45" s="42" t="s">
        <v>237</v>
      </c>
      <c r="B45" s="41" t="s">
        <v>238</v>
      </c>
      <c r="C45" s="41"/>
      <c r="D45" s="41"/>
      <c r="E45" s="44"/>
    </row>
    <row r="46" ht="14.25" customHeight="1" spans="1:5">
      <c r="A46" s="42"/>
      <c r="B46" s="41"/>
      <c r="C46" s="41"/>
      <c r="D46" s="41"/>
      <c r="E46" s="44"/>
    </row>
    <row r="47" ht="14.25" customHeight="1" spans="1:5">
      <c r="A47" s="42" t="s">
        <v>239</v>
      </c>
      <c r="B47" s="41" t="s">
        <v>160</v>
      </c>
      <c r="C47" s="41" t="s">
        <v>157</v>
      </c>
      <c r="D47" s="41" t="s">
        <v>157</v>
      </c>
      <c r="E47" s="44"/>
    </row>
    <row r="48" ht="14.25" customHeight="1" spans="1:5">
      <c r="A48" s="42" t="s">
        <v>240</v>
      </c>
      <c r="B48" s="41"/>
      <c r="C48" s="55" t="s">
        <v>97</v>
      </c>
      <c r="D48" s="55" t="s">
        <v>97</v>
      </c>
      <c r="E48" s="44"/>
    </row>
    <row r="49" ht="14.25" customHeight="1" spans="1:5">
      <c r="A49" s="42" t="s">
        <v>241</v>
      </c>
      <c r="B49" s="41" t="s">
        <v>242</v>
      </c>
      <c r="C49" s="41" t="s">
        <v>242</v>
      </c>
      <c r="D49" s="41" t="s">
        <v>242</v>
      </c>
      <c r="E49" s="44"/>
    </row>
    <row r="50" ht="14.25" customHeight="1" spans="1:5">
      <c r="A50" s="42" t="s">
        <v>243</v>
      </c>
      <c r="B50" s="41" t="s">
        <v>244</v>
      </c>
      <c r="C50" s="41" t="s">
        <v>244</v>
      </c>
      <c r="D50" s="41" t="s">
        <v>244</v>
      </c>
      <c r="E50" s="44"/>
    </row>
    <row r="51" ht="14.25" customHeight="1" spans="1:5">
      <c r="A51" s="42" t="s">
        <v>245</v>
      </c>
      <c r="B51" s="41" t="s">
        <v>246</v>
      </c>
      <c r="C51" s="41" t="s">
        <v>247</v>
      </c>
      <c r="D51" s="41" t="s">
        <v>248</v>
      </c>
      <c r="E51" s="44"/>
    </row>
    <row r="52" ht="14.25" customHeight="1" spans="1:5">
      <c r="A52" s="42"/>
      <c r="B52" s="41"/>
      <c r="C52" s="41"/>
      <c r="D52" s="41"/>
      <c r="E52" s="44"/>
    </row>
    <row r="53" ht="14.25" customHeight="1" spans="1:5">
      <c r="A53" s="42"/>
      <c r="B53" s="41"/>
      <c r="C53" s="41"/>
      <c r="D53" s="41"/>
      <c r="E53" s="44"/>
    </row>
    <row r="54" customHeight="1" spans="1:4">
      <c r="A54" s="56"/>
      <c r="B54" s="57"/>
      <c r="C54" s="57"/>
      <c r="D54" s="57"/>
    </row>
    <row r="55" customHeight="1" spans="1:4">
      <c r="A55" s="56"/>
      <c r="B55" s="57"/>
      <c r="C55" s="57"/>
      <c r="D55" s="57"/>
    </row>
    <row r="56" customHeight="1" spans="1:4">
      <c r="A56" s="56"/>
      <c r="B56" s="57"/>
      <c r="C56" s="57"/>
      <c r="D56" s="57"/>
    </row>
    <row r="57" customHeight="1" spans="1:4">
      <c r="A57" s="56"/>
      <c r="B57" s="57"/>
      <c r="C57" s="57"/>
      <c r="D57" s="57"/>
    </row>
    <row r="58" customHeight="1" spans="1:4">
      <c r="A58" s="56"/>
      <c r="B58" s="57"/>
      <c r="C58" s="57"/>
      <c r="D58" s="57"/>
    </row>
    <row r="59" customHeight="1" spans="1:4">
      <c r="A59" s="56"/>
      <c r="B59" s="57"/>
      <c r="C59" s="57"/>
      <c r="D59" s="57"/>
    </row>
    <row r="60" customHeight="1" spans="1:4">
      <c r="A60" s="56"/>
      <c r="B60" s="57"/>
      <c r="C60" s="57"/>
      <c r="D60" s="57"/>
    </row>
    <row r="61" customHeight="1" spans="1:4">
      <c r="A61" s="56"/>
      <c r="B61" s="57"/>
      <c r="C61" s="57"/>
      <c r="D61" s="57"/>
    </row>
    <row r="62" customHeight="1" spans="1:4">
      <c r="A62" s="56"/>
      <c r="B62" s="57"/>
      <c r="C62" s="57"/>
      <c r="D62" s="57"/>
    </row>
    <row r="63" customHeight="1" spans="1:4">
      <c r="A63" s="56"/>
      <c r="B63" s="57"/>
      <c r="C63" s="57"/>
      <c r="D63" s="57"/>
    </row>
    <row r="64" customHeight="1" spans="1:4">
      <c r="A64" s="56"/>
      <c r="B64" s="57"/>
      <c r="C64" s="57"/>
      <c r="D64" s="57"/>
    </row>
    <row r="65" customHeight="1" spans="1:4">
      <c r="A65" s="56"/>
      <c r="B65" s="57"/>
      <c r="C65" s="57"/>
      <c r="D65" s="57"/>
    </row>
    <row r="66" customHeight="1" spans="1:4">
      <c r="A66" s="56"/>
      <c r="B66" s="57"/>
      <c r="C66" s="57"/>
      <c r="D66" s="57"/>
    </row>
    <row r="67" customHeight="1" spans="1:4">
      <c r="A67" s="56"/>
      <c r="B67" s="57"/>
      <c r="C67" s="57"/>
      <c r="D67" s="57"/>
    </row>
    <row r="68" customHeight="1" spans="1:4">
      <c r="A68" s="56"/>
      <c r="B68" s="57"/>
      <c r="C68" s="57"/>
      <c r="D68" s="57"/>
    </row>
    <row r="69" customHeight="1" spans="1:4">
      <c r="A69" s="56"/>
      <c r="B69" s="57"/>
      <c r="C69" s="57"/>
      <c r="D69" s="57"/>
    </row>
    <row r="70" customHeight="1" spans="1:4">
      <c r="A70" s="56"/>
      <c r="B70" s="57"/>
      <c r="C70" s="57"/>
      <c r="D70" s="57"/>
    </row>
    <row r="71" customHeight="1" spans="1:4">
      <c r="A71" s="56"/>
      <c r="B71" s="57"/>
      <c r="C71" s="57"/>
      <c r="D71" s="57"/>
    </row>
    <row r="72" customHeight="1" spans="1:4">
      <c r="A72" s="56"/>
      <c r="B72" s="57"/>
      <c r="C72" s="57"/>
      <c r="D72" s="57"/>
    </row>
    <row r="73" customHeight="1" spans="1:4">
      <c r="A73" s="56"/>
      <c r="B73" s="57"/>
      <c r="C73" s="57"/>
      <c r="D73" s="57"/>
    </row>
    <row r="74" customHeight="1" spans="1:4">
      <c r="A74" s="56"/>
      <c r="B74" s="57"/>
      <c r="C74" s="57"/>
      <c r="D74" s="57"/>
    </row>
    <row r="75" customHeight="1" spans="1:4">
      <c r="A75" s="56"/>
      <c r="B75" s="57"/>
      <c r="C75" s="57"/>
      <c r="D75" s="57"/>
    </row>
    <row r="76" customHeight="1" spans="1:4">
      <c r="A76" s="56"/>
      <c r="B76" s="57"/>
      <c r="C76" s="57"/>
      <c r="D76" s="57"/>
    </row>
    <row r="77" customHeight="1" spans="1:4">
      <c r="A77" s="56"/>
      <c r="B77" s="57"/>
      <c r="C77" s="57"/>
      <c r="D77" s="57"/>
    </row>
    <row r="78" customHeight="1" spans="1:4">
      <c r="A78" s="56"/>
      <c r="B78" s="57"/>
      <c r="C78" s="57"/>
      <c r="D78" s="57"/>
    </row>
    <row r="79" customHeight="1" spans="1:4">
      <c r="A79" s="56"/>
      <c r="B79" s="57"/>
      <c r="C79" s="57"/>
      <c r="D79" s="57"/>
    </row>
    <row r="80" customHeight="1" spans="1:4">
      <c r="A80" s="56"/>
      <c r="B80" s="57"/>
      <c r="C80" s="57"/>
      <c r="D80" s="57"/>
    </row>
    <row r="81" customHeight="1" spans="1:4">
      <c r="A81" s="56"/>
      <c r="B81" s="57"/>
      <c r="C81" s="57"/>
      <c r="D81" s="57"/>
    </row>
    <row r="82" customHeight="1" spans="1:4">
      <c r="A82" s="56"/>
      <c r="B82" s="57"/>
      <c r="C82" s="57"/>
      <c r="D82" s="57"/>
    </row>
    <row r="83" customHeight="1" spans="1:4">
      <c r="A83" s="56"/>
      <c r="B83" s="57"/>
      <c r="C83" s="57"/>
      <c r="D83" s="57"/>
    </row>
    <row r="84" customHeight="1" spans="1:4">
      <c r="A84" s="56"/>
      <c r="B84" s="57"/>
      <c r="C84" s="57"/>
      <c r="D84" s="57"/>
    </row>
    <row r="85" customHeight="1" spans="1:4">
      <c r="A85" s="56"/>
      <c r="B85" s="57"/>
      <c r="C85" s="57"/>
      <c r="D85" s="57"/>
    </row>
    <row r="86" customHeight="1" spans="1:4">
      <c r="A86" s="56"/>
      <c r="B86" s="57"/>
      <c r="C86" s="57"/>
      <c r="D86" s="57"/>
    </row>
    <row r="87" customHeight="1" spans="1:4">
      <c r="A87" s="56"/>
      <c r="B87" s="57"/>
      <c r="C87" s="57"/>
      <c r="D87" s="57"/>
    </row>
    <row r="88" customHeight="1" spans="1:4">
      <c r="A88" s="56"/>
      <c r="B88" s="57"/>
      <c r="C88" s="57"/>
      <c r="D88" s="57"/>
    </row>
    <row r="89" customHeight="1" spans="1:4">
      <c r="A89" s="56"/>
      <c r="B89" s="57"/>
      <c r="C89" s="57"/>
      <c r="D89" s="57"/>
    </row>
  </sheetData>
  <hyperlinks>
    <hyperlink ref="C48" r:id="rId1" display="fkinedieng.ext@fdjunited.com"/>
    <hyperlink ref="D48" r:id="rId1" display="fkinedieng.ext@fdjunited.com"/>
  </hyperlinks>
  <pageMargins left="0.7" right="0.7" top="0.75" bottom="0.75" header="0.3" footer="0.3"/>
  <pageSetup paperSize="9" orientation="portrait"/>
  <headerFooter>
    <oddFooter>&amp;C
&amp;1#&amp;"verdana"&amp;8&amp;K282D87 RESTREINT</oddFooter>
  </headerFooter>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38"/>
  <sheetViews>
    <sheetView showGridLines="0" workbookViewId="0">
      <pane ySplit="1" topLeftCell="A2" activePane="bottomLeft" state="frozen"/>
      <selection/>
      <selection pane="bottomLeft" activeCell="E26" sqref="E26"/>
    </sheetView>
  </sheetViews>
  <sheetFormatPr defaultColWidth="14.4571428571429" defaultRowHeight="15" customHeight="1" outlineLevelCol="4"/>
  <cols>
    <col min="1" max="1" width="34.1809523809524" customWidth="1"/>
    <col min="2" max="2" width="48.7238095238095" customWidth="1"/>
    <col min="3" max="3" width="13.4571428571429" customWidth="1"/>
    <col min="4" max="4" width="14.2666666666667" customWidth="1"/>
    <col min="5" max="5" width="143.457142857143" customWidth="1"/>
  </cols>
  <sheetData>
    <row r="1" ht="14.25" customHeight="1" spans="1:5">
      <c r="A1" s="13" t="s">
        <v>0</v>
      </c>
      <c r="B1" s="13" t="s">
        <v>1</v>
      </c>
      <c r="C1" s="13" t="s">
        <v>2</v>
      </c>
      <c r="D1" s="13" t="s">
        <v>3</v>
      </c>
      <c r="E1" s="13" t="s">
        <v>4</v>
      </c>
    </row>
    <row r="2" ht="14.25" customHeight="1" spans="1:5">
      <c r="A2" s="20" t="s">
        <v>249</v>
      </c>
      <c r="B2" s="21"/>
      <c r="C2" s="21"/>
      <c r="D2" s="21"/>
      <c r="E2" s="22"/>
    </row>
    <row r="3" ht="14.25" customHeight="1" spans="1:5">
      <c r="A3" s="23" t="s">
        <v>250</v>
      </c>
      <c r="B3" s="24">
        <v>0</v>
      </c>
      <c r="C3" s="24"/>
      <c r="D3" s="24"/>
      <c r="E3" s="25" t="s">
        <v>251</v>
      </c>
    </row>
    <row r="4" ht="14.25" customHeight="1" spans="1:5">
      <c r="A4" s="15" t="s">
        <v>252</v>
      </c>
      <c r="B4" s="4">
        <v>200</v>
      </c>
      <c r="C4" s="4"/>
      <c r="D4" s="4"/>
      <c r="E4" s="14" t="s">
        <v>253</v>
      </c>
    </row>
    <row r="5" ht="14.25" customHeight="1" spans="1:5">
      <c r="A5" s="15" t="s">
        <v>254</v>
      </c>
      <c r="B5" s="4">
        <v>2</v>
      </c>
      <c r="C5" s="4"/>
      <c r="D5" s="4"/>
      <c r="E5" s="14" t="s">
        <v>255</v>
      </c>
    </row>
    <row r="6" ht="14.25" customHeight="1" spans="1:5">
      <c r="A6" s="16" t="s">
        <v>256</v>
      </c>
      <c r="B6" s="17">
        <v>3</v>
      </c>
      <c r="C6" s="17"/>
      <c r="D6" s="17"/>
      <c r="E6" s="18" t="s">
        <v>257</v>
      </c>
    </row>
    <row r="7" ht="14.25" customHeight="1"/>
    <row r="8" ht="14.25" customHeight="1" spans="1:5">
      <c r="A8" s="23" t="s">
        <v>258</v>
      </c>
      <c r="B8" s="24">
        <v>5</v>
      </c>
      <c r="C8" s="24"/>
      <c r="D8" s="24"/>
      <c r="E8" s="25" t="s">
        <v>259</v>
      </c>
    </row>
    <row r="9" ht="14.25" customHeight="1" spans="1:5">
      <c r="A9" s="15" t="s">
        <v>260</v>
      </c>
      <c r="B9" s="4">
        <v>30</v>
      </c>
      <c r="C9" s="4"/>
      <c r="D9" s="4"/>
      <c r="E9" s="14" t="s">
        <v>261</v>
      </c>
    </row>
    <row r="10" ht="14.25" customHeight="1" spans="1:5">
      <c r="A10" s="16" t="s">
        <v>262</v>
      </c>
      <c r="B10" s="17">
        <v>120</v>
      </c>
      <c r="C10" s="17"/>
      <c r="D10" s="17"/>
      <c r="E10" s="18" t="s">
        <v>263</v>
      </c>
    </row>
    <row r="11" ht="14.25" customHeight="1"/>
    <row r="12" ht="14.25" customHeight="1" spans="1:5">
      <c r="A12" s="23" t="s">
        <v>264</v>
      </c>
      <c r="B12" s="24">
        <v>1</v>
      </c>
      <c r="C12" s="24"/>
      <c r="D12" s="24"/>
      <c r="E12" s="25" t="s">
        <v>265</v>
      </c>
    </row>
    <row r="13" ht="14.25" customHeight="1" spans="1:5">
      <c r="A13" s="15" t="s">
        <v>266</v>
      </c>
      <c r="B13" s="4">
        <v>15</v>
      </c>
      <c r="C13" s="4"/>
      <c r="D13" s="4"/>
      <c r="E13" s="14" t="s">
        <v>267</v>
      </c>
    </row>
    <row r="14" ht="14.25" customHeight="1" spans="1:5">
      <c r="A14" s="16" t="s">
        <v>268</v>
      </c>
      <c r="B14" s="17">
        <v>60</v>
      </c>
      <c r="C14" s="17"/>
      <c r="D14" s="17"/>
      <c r="E14" s="18" t="s">
        <v>269</v>
      </c>
    </row>
    <row r="15" ht="14.25" customHeight="1"/>
    <row r="16" ht="14.25" customHeight="1" spans="1:5">
      <c r="A16" s="23" t="s">
        <v>270</v>
      </c>
      <c r="B16" s="24">
        <v>0.6</v>
      </c>
      <c r="C16" s="24"/>
      <c r="D16" s="24"/>
      <c r="E16" s="25" t="s">
        <v>271</v>
      </c>
    </row>
    <row r="17" ht="14.25" customHeight="1" spans="1:5">
      <c r="A17" s="15" t="s">
        <v>272</v>
      </c>
      <c r="B17" s="4">
        <v>0.8</v>
      </c>
      <c r="C17" s="4"/>
      <c r="D17" s="4"/>
      <c r="E17" s="14" t="s">
        <v>273</v>
      </c>
    </row>
    <row r="18" ht="14.25" customHeight="1" spans="1:5">
      <c r="A18" s="16" t="s">
        <v>274</v>
      </c>
      <c r="B18" s="17">
        <v>0.9</v>
      </c>
      <c r="C18" s="17"/>
      <c r="D18" s="17"/>
      <c r="E18" s="18" t="s">
        <v>275</v>
      </c>
    </row>
    <row r="19" ht="14.25" customHeight="1"/>
    <row r="20" ht="14.25" customHeight="1" spans="1:5">
      <c r="A20" s="23" t="s">
        <v>276</v>
      </c>
      <c r="B20" s="24" t="s">
        <v>277</v>
      </c>
      <c r="C20" s="24"/>
      <c r="D20" s="24"/>
      <c r="E20" s="25" t="s">
        <v>278</v>
      </c>
    </row>
    <row r="21" ht="14.25" customHeight="1" spans="1:5">
      <c r="A21" s="15" t="s">
        <v>279</v>
      </c>
      <c r="B21" s="4" t="s">
        <v>280</v>
      </c>
      <c r="C21" s="4"/>
      <c r="D21" s="4"/>
      <c r="E21" s="14" t="s">
        <v>281</v>
      </c>
    </row>
    <row r="22" ht="14.25" customHeight="1" spans="1:5">
      <c r="A22" s="15" t="s">
        <v>282</v>
      </c>
      <c r="B22" s="4" t="s">
        <v>283</v>
      </c>
      <c r="C22" s="4"/>
      <c r="D22" s="4"/>
      <c r="E22" s="14" t="s">
        <v>284</v>
      </c>
    </row>
    <row r="23" ht="14.25" customHeight="1" spans="1:5">
      <c r="A23" s="15" t="s">
        <v>285</v>
      </c>
      <c r="B23" s="4" t="s">
        <v>286</v>
      </c>
      <c r="C23" s="4"/>
      <c r="D23" s="4"/>
      <c r="E23" s="14" t="s">
        <v>287</v>
      </c>
    </row>
    <row r="24" ht="14.25" customHeight="1" spans="1:5">
      <c r="A24" s="16" t="s">
        <v>288</v>
      </c>
      <c r="B24" s="17" t="s">
        <v>289</v>
      </c>
      <c r="C24" s="17"/>
      <c r="D24" s="17"/>
      <c r="E24" s="18" t="s">
        <v>290</v>
      </c>
    </row>
    <row r="25" ht="14.25" customHeight="1" spans="1:5">
      <c r="A25" s="16" t="s">
        <v>291</v>
      </c>
      <c r="B25" s="17" t="s">
        <v>277</v>
      </c>
      <c r="C25" s="17"/>
      <c r="D25" s="17"/>
      <c r="E25" s="18" t="s">
        <v>292</v>
      </c>
    </row>
    <row r="26" ht="14.25" customHeight="1"/>
    <row r="27" ht="14.25" customHeight="1" spans="1:5">
      <c r="A27" s="23" t="s">
        <v>293</v>
      </c>
      <c r="B27" s="24">
        <v>0</v>
      </c>
      <c r="C27" s="24"/>
      <c r="D27" s="24"/>
      <c r="E27" s="25" t="s">
        <v>294</v>
      </c>
    </row>
    <row r="28" ht="14.25" customHeight="1" spans="1:5">
      <c r="A28" s="15" t="s">
        <v>295</v>
      </c>
      <c r="B28" s="4">
        <v>0</v>
      </c>
      <c r="C28" s="4"/>
      <c r="D28" s="4"/>
      <c r="E28" s="14" t="s">
        <v>296</v>
      </c>
    </row>
    <row r="29" ht="14.25" customHeight="1" spans="1:5">
      <c r="A29" s="16" t="s">
        <v>297</v>
      </c>
      <c r="B29" s="17">
        <v>0</v>
      </c>
      <c r="C29" s="17"/>
      <c r="D29" s="17"/>
      <c r="E29" s="18" t="s">
        <v>296</v>
      </c>
    </row>
    <row r="30" ht="14.25" customHeight="1"/>
    <row r="31" ht="14.25" customHeight="1" spans="1:5">
      <c r="A31" s="23" t="s">
        <v>298</v>
      </c>
      <c r="B31" s="26" t="s">
        <v>299</v>
      </c>
      <c r="C31" s="26" t="s">
        <v>300</v>
      </c>
      <c r="D31" s="26" t="s">
        <v>301</v>
      </c>
      <c r="E31" s="25" t="s">
        <v>302</v>
      </c>
    </row>
    <row r="32" ht="14.15" customHeight="1" spans="1:5">
      <c r="A32" s="16" t="s">
        <v>303</v>
      </c>
      <c r="B32" s="17">
        <v>7</v>
      </c>
      <c r="C32" s="17"/>
      <c r="D32" s="17"/>
      <c r="E32" s="18" t="s">
        <v>304</v>
      </c>
    </row>
    <row r="33" ht="14.15" customHeight="1"/>
    <row r="34" ht="14.15" customHeight="1" spans="1:5">
      <c r="A34" s="23" t="s">
        <v>305</v>
      </c>
      <c r="B34" s="24">
        <v>3</v>
      </c>
      <c r="C34" s="24"/>
      <c r="D34" s="24"/>
      <c r="E34" s="25" t="s">
        <v>306</v>
      </c>
    </row>
    <row r="35" ht="14.15" customHeight="1" spans="1:5">
      <c r="A35" s="16" t="s">
        <v>307</v>
      </c>
      <c r="B35" s="17">
        <v>5</v>
      </c>
      <c r="C35" s="17"/>
      <c r="D35" s="17"/>
      <c r="E35" s="18" t="s">
        <v>308</v>
      </c>
    </row>
    <row r="36" ht="14.25" customHeight="1"/>
    <row r="37" ht="14.25" customHeight="1" spans="1:5">
      <c r="A37" s="27" t="s">
        <v>309</v>
      </c>
      <c r="B37" s="28"/>
      <c r="C37" s="28"/>
      <c r="D37" s="28"/>
      <c r="E37" s="29"/>
    </row>
    <row r="38" s="19" customFormat="1" ht="14.25" customHeight="1" spans="1:1">
      <c r="A38" s="30" t="s">
        <v>310</v>
      </c>
    </row>
  </sheetData>
  <mergeCells count="2">
    <mergeCell ref="A2:E2"/>
    <mergeCell ref="A37:E37"/>
  </mergeCells>
  <pageMargins left="0.7" right="0.7" top="0.75" bottom="0.75" header="0.3" footer="0.3"/>
  <pageSetup paperSize="9" orientation="portrait"/>
  <headerFooter>
    <oddFooter>&amp;C
&amp;1#&amp;"verdana"&amp;8&amp;K282D87 RESTREINT</oddFooter>
  </headerFooter>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4"/>
  <sheetViews>
    <sheetView showGridLines="0" workbookViewId="0">
      <pane ySplit="1" topLeftCell="A2" activePane="bottomLeft" state="frozen"/>
      <selection/>
      <selection pane="bottomLeft" activeCell="C15" sqref="C15"/>
    </sheetView>
  </sheetViews>
  <sheetFormatPr defaultColWidth="14.4571428571429" defaultRowHeight="15" customHeight="1" outlineLevelRow="3" outlineLevelCol="4"/>
  <cols>
    <col min="1" max="1" width="29" customWidth="1"/>
    <col min="2" max="2" width="31.5428571428571" customWidth="1"/>
    <col min="3" max="4" width="31.1809523809524" customWidth="1"/>
    <col min="5" max="5" width="94.2666666666667" customWidth="1"/>
  </cols>
  <sheetData>
    <row r="1" ht="14.25" customHeight="1" spans="1:5">
      <c r="A1" s="13" t="s">
        <v>0</v>
      </c>
      <c r="B1" s="13" t="s">
        <v>1</v>
      </c>
      <c r="C1" s="13" t="s">
        <v>37</v>
      </c>
      <c r="D1" s="13" t="s">
        <v>311</v>
      </c>
      <c r="E1" s="13" t="s">
        <v>312</v>
      </c>
    </row>
    <row r="2" customHeight="1" spans="1:5">
      <c r="A2" s="3" t="s">
        <v>313</v>
      </c>
      <c r="B2" s="3" t="s">
        <v>313</v>
      </c>
      <c r="C2" s="4" t="s">
        <v>32</v>
      </c>
      <c r="D2" s="4"/>
      <c r="E2" s="14"/>
    </row>
    <row r="3" customHeight="1" spans="1:5">
      <c r="A3" s="15" t="s">
        <v>314</v>
      </c>
      <c r="B3" s="4" t="s">
        <v>314</v>
      </c>
      <c r="C3" s="4" t="s">
        <v>32</v>
      </c>
      <c r="D3" s="4"/>
      <c r="E3" s="14"/>
    </row>
    <row r="4" customHeight="1" spans="1:5">
      <c r="A4" s="16"/>
      <c r="B4" s="17"/>
      <c r="C4" s="17"/>
      <c r="D4" s="17"/>
      <c r="E4" s="18"/>
    </row>
  </sheetData>
  <dataValidations count="2">
    <dataValidation showInputMessage="1" showErrorMessage="1" sqref="D1"/>
    <dataValidation type="list" showInputMessage="1" showErrorMessage="1" sqref="D2:D1048576">
      <formula1>DataValidation!$B$2:$B$3</formula1>
    </dataValidation>
  </dataValidations>
  <pageMargins left="0.7" right="0.7" top="0.75" bottom="0.75" header="0.3" footer="0.3"/>
  <pageSetup paperSize="9" orientation="portrait"/>
  <headerFooter>
    <oddFooter>&amp;C
&amp;1#&amp;"verdana"&amp;8&amp;K282D87 RESTREINT</oddFooter>
  </headerFooter>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E15"/>
  <sheetViews>
    <sheetView showGridLines="0" workbookViewId="0">
      <pane ySplit="1" topLeftCell="A15" activePane="bottomLeft" state="frozen"/>
      <selection/>
      <selection pane="bottomLeft" activeCell="C13" sqref="C13"/>
    </sheetView>
  </sheetViews>
  <sheetFormatPr defaultColWidth="9.18095238095238" defaultRowHeight="69.75" customHeight="1" outlineLevelCol="4"/>
  <cols>
    <col min="1" max="1" width="50.5428571428571" customWidth="1"/>
    <col min="2" max="5" width="50.5428571428571" style="5" customWidth="1"/>
  </cols>
  <sheetData>
    <row r="1" ht="15.75" customHeight="1" spans="1:5">
      <c r="A1" s="6" t="s">
        <v>315</v>
      </c>
      <c r="B1" s="7" t="s">
        <v>316</v>
      </c>
      <c r="C1" s="7" t="s">
        <v>25</v>
      </c>
      <c r="D1" s="7" t="s">
        <v>317</v>
      </c>
      <c r="E1" s="7" t="s">
        <v>318</v>
      </c>
    </row>
    <row r="2" ht="45" spans="1:5">
      <c r="A2" s="8" t="s">
        <v>52</v>
      </c>
      <c r="B2" s="9" t="s">
        <v>319</v>
      </c>
      <c r="C2" s="9" t="s">
        <v>320</v>
      </c>
      <c r="D2" s="9" t="s">
        <v>321</v>
      </c>
      <c r="E2" s="9" t="s">
        <v>322</v>
      </c>
    </row>
    <row r="3" ht="15" spans="1:5">
      <c r="A3" s="10" t="s">
        <v>86</v>
      </c>
      <c r="B3" s="9" t="s">
        <v>323</v>
      </c>
      <c r="C3" s="9" t="s">
        <v>323</v>
      </c>
      <c r="D3" s="9"/>
      <c r="E3" s="9"/>
    </row>
    <row r="4" ht="89.25" customHeight="1" spans="1:5">
      <c r="A4" s="8" t="s">
        <v>88</v>
      </c>
      <c r="B4" s="11" t="s">
        <v>324</v>
      </c>
      <c r="C4" s="9" t="s">
        <v>325</v>
      </c>
      <c r="D4" s="11" t="s">
        <v>326</v>
      </c>
      <c r="E4" s="11" t="s">
        <v>327</v>
      </c>
    </row>
    <row r="5" ht="89.25" customHeight="1" spans="1:5">
      <c r="A5" s="8" t="s">
        <v>90</v>
      </c>
      <c r="B5" s="11" t="s">
        <v>328</v>
      </c>
      <c r="C5" s="9" t="s">
        <v>329</v>
      </c>
      <c r="D5" s="11" t="s">
        <v>330</v>
      </c>
      <c r="E5" s="11" t="s">
        <v>331</v>
      </c>
    </row>
    <row r="6" ht="89.25" customHeight="1" spans="1:5">
      <c r="A6" s="8" t="s">
        <v>92</v>
      </c>
      <c r="B6" s="11" t="s">
        <v>332</v>
      </c>
      <c r="C6" s="11" t="s">
        <v>333</v>
      </c>
      <c r="D6" s="11" t="s">
        <v>334</v>
      </c>
      <c r="E6" s="11" t="s">
        <v>335</v>
      </c>
    </row>
    <row r="7" ht="89.25" customHeight="1" spans="1:5">
      <c r="A7" s="8" t="s">
        <v>94</v>
      </c>
      <c r="B7" s="11" t="s">
        <v>336</v>
      </c>
      <c r="C7" s="11" t="s">
        <v>337</v>
      </c>
      <c r="D7" s="11" t="s">
        <v>338</v>
      </c>
      <c r="E7" s="11" t="s">
        <v>339</v>
      </c>
    </row>
    <row r="8" ht="15" spans="1:5">
      <c r="A8" s="10" t="s">
        <v>146</v>
      </c>
      <c r="B8" s="9" t="s">
        <v>340</v>
      </c>
      <c r="C8" s="9" t="s">
        <v>340</v>
      </c>
      <c r="D8" s="9"/>
      <c r="E8" s="9"/>
    </row>
    <row r="9" ht="89.25" customHeight="1" spans="1:5">
      <c r="A9" s="8" t="s">
        <v>341</v>
      </c>
      <c r="B9" s="11" t="s">
        <v>342</v>
      </c>
      <c r="C9" s="11" t="s">
        <v>343</v>
      </c>
      <c r="D9" s="11"/>
      <c r="E9" s="11"/>
    </row>
    <row r="10" ht="15" spans="1:5">
      <c r="A10" s="10" t="s">
        <v>121</v>
      </c>
      <c r="B10" s="9" t="s">
        <v>344</v>
      </c>
      <c r="C10" s="9" t="s">
        <v>344</v>
      </c>
      <c r="D10" s="9"/>
      <c r="E10" s="9"/>
    </row>
    <row r="11" ht="89.25" customHeight="1" spans="1:5">
      <c r="A11" s="8" t="s">
        <v>123</v>
      </c>
      <c r="B11" s="11" t="s">
        <v>345</v>
      </c>
      <c r="C11" s="9" t="s">
        <v>346</v>
      </c>
      <c r="D11" s="11" t="s">
        <v>347</v>
      </c>
      <c r="E11" s="11" t="s">
        <v>348</v>
      </c>
    </row>
    <row r="12" ht="178.9" customHeight="1" spans="1:5">
      <c r="A12" s="8" t="s">
        <v>125</v>
      </c>
      <c r="B12" s="11" t="s">
        <v>349</v>
      </c>
      <c r="C12" s="11" t="s">
        <v>350</v>
      </c>
      <c r="D12" s="11" t="s">
        <v>351</v>
      </c>
      <c r="E12" s="11" t="s">
        <v>352</v>
      </c>
    </row>
    <row r="13" ht="45" spans="1:5">
      <c r="A13" s="10" t="s">
        <v>134</v>
      </c>
      <c r="B13" s="9" t="s">
        <v>353</v>
      </c>
      <c r="C13" s="9" t="s">
        <v>354</v>
      </c>
      <c r="D13" s="9"/>
      <c r="E13" s="9"/>
    </row>
    <row r="14" ht="134.5" customHeight="1" spans="1:5">
      <c r="A14" s="12" t="s">
        <v>136</v>
      </c>
      <c r="B14" s="11" t="s">
        <v>355</v>
      </c>
      <c r="C14" s="11" t="s">
        <v>356</v>
      </c>
      <c r="D14" s="11" t="s">
        <v>357</v>
      </c>
      <c r="E14" s="11" t="s">
        <v>358</v>
      </c>
    </row>
    <row r="15" ht="134.5" customHeight="1" spans="1:5">
      <c r="A15" s="12"/>
      <c r="B15" s="11"/>
      <c r="D15" s="11"/>
      <c r="E15" s="11"/>
    </row>
  </sheetData>
  <pageMargins left="0.7" right="0.7" top="0.75" bottom="0.75" header="0.3" footer="0.3"/>
  <headerFooter>
    <oddFooter>&amp;C
&amp;1#&amp;"verdana"&amp;8&amp;K282D87 RESTREINT</oddFooter>
  </headerFooter>
</worksheet>
</file>

<file path=xl/worksheets/sheet6.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D5"/>
  <sheetViews>
    <sheetView showGridLines="0" workbookViewId="0">
      <pane ySplit="1" topLeftCell="A2" activePane="bottomLeft" state="frozen"/>
      <selection/>
      <selection pane="bottomLeft" activeCell="H15" sqref="H15"/>
    </sheetView>
  </sheetViews>
  <sheetFormatPr defaultColWidth="9.18095238095238" defaultRowHeight="15" outlineLevelRow="4" outlineLevelCol="3"/>
  <cols>
    <col min="1" max="2" width="14.5428571428571" customWidth="1"/>
    <col min="3" max="3" width="32.5428571428571" customWidth="1"/>
  </cols>
  <sheetData>
    <row r="1" spans="1:4">
      <c r="A1" s="1" t="s">
        <v>359</v>
      </c>
      <c r="B1" s="1" t="s">
        <v>360</v>
      </c>
      <c r="C1" s="1" t="s">
        <v>361</v>
      </c>
      <c r="D1" s="2" t="s">
        <v>55</v>
      </c>
    </row>
    <row r="2" spans="1:4">
      <c r="A2" s="3" t="s">
        <v>25</v>
      </c>
      <c r="B2" s="4" t="b">
        <v>1</v>
      </c>
      <c r="C2" s="4" t="s">
        <v>362</v>
      </c>
      <c r="D2" s="4" t="s">
        <v>363</v>
      </c>
    </row>
    <row r="3" spans="1:4">
      <c r="A3" s="4" t="s">
        <v>316</v>
      </c>
      <c r="B3" s="4" t="b">
        <v>0</v>
      </c>
      <c r="C3" s="4" t="s">
        <v>10</v>
      </c>
      <c r="D3" s="4" t="s">
        <v>364</v>
      </c>
    </row>
    <row r="4" spans="1:4">
      <c r="A4" s="4" t="s">
        <v>317</v>
      </c>
      <c r="D4" s="4" t="s">
        <v>56</v>
      </c>
    </row>
    <row r="5" spans="1:1">
      <c r="A5" s="3" t="s">
        <v>318</v>
      </c>
    </row>
  </sheetData>
  <pageMargins left="0.7" right="0.7" top="0.75" bottom="0.75" header="0.3" footer="0.3"/>
  <pageSetup paperSize="9" orientation="portrait"/>
  <headerFooter>
    <oddFooter>&amp;C
&amp;1#&amp;"verdana"&amp;8&amp;K282D87 RESTREINT</oddFooter>
  </headerFooter>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6</vt:i4>
      </vt:variant>
    </vt:vector>
  </HeadingPairs>
  <TitlesOfParts>
    <vt:vector size="6" baseType="lpstr">
      <vt:lpstr>GeneralSettings</vt:lpstr>
      <vt:lpstr>CustomSettings</vt:lpstr>
      <vt:lpstr>Constants</vt:lpstr>
      <vt:lpstr>Assets</vt:lpstr>
      <vt:lpstr>LanguageSettings</vt:lpstr>
      <vt:lpstr>DataValidation</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senyoneadmin</cp:lastModifiedBy>
  <dcterms:created xsi:type="dcterms:W3CDTF">2025-10-29T13:25:00Z</dcterms:created>
  <dcterms:modified xsi:type="dcterms:W3CDTF">2025-11-18T11:33:44Z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426232e2-9302-45d7-aef8-ea51d830aa56_Enabled">
    <vt:lpwstr>true</vt:lpwstr>
  </property>
  <property fmtid="{D5CDD505-2E9C-101B-9397-08002B2CF9AE}" pid="3" name="MSIP_Label_426232e2-9302-45d7-aef8-ea51d830aa56_SetDate">
    <vt:lpwstr>2024-06-10T19:11:25Z</vt:lpwstr>
  </property>
  <property fmtid="{D5CDD505-2E9C-101B-9397-08002B2CF9AE}" pid="4" name="MSIP_Label_426232e2-9302-45d7-aef8-ea51d830aa56_Method">
    <vt:lpwstr>Standard</vt:lpwstr>
  </property>
  <property fmtid="{D5CDD505-2E9C-101B-9397-08002B2CF9AE}" pid="5" name="MSIP_Label_426232e2-9302-45d7-aef8-ea51d830aa56_Name">
    <vt:lpwstr>RESTREINT</vt:lpwstr>
  </property>
  <property fmtid="{D5CDD505-2E9C-101B-9397-08002B2CF9AE}" pid="6" name="MSIP_Label_426232e2-9302-45d7-aef8-ea51d830aa56_SiteId">
    <vt:lpwstr>b1a7639e-6f68-471f-a534-787509510be4</vt:lpwstr>
  </property>
  <property fmtid="{D5CDD505-2E9C-101B-9397-08002B2CF9AE}" pid="7" name="MSIP_Label_426232e2-9302-45d7-aef8-ea51d830aa56_ActionId">
    <vt:lpwstr>176620cf-0eb1-4371-b59e-3ef6b339bf5d</vt:lpwstr>
  </property>
  <property fmtid="{D5CDD505-2E9C-101B-9397-08002B2CF9AE}" pid="8" name="MSIP_Label_426232e2-9302-45d7-aef8-ea51d830aa56_ContentBits">
    <vt:lpwstr>2</vt:lpwstr>
  </property>
  <property fmtid="{D5CDD505-2E9C-101B-9397-08002B2CF9AE}" pid="9" name="ICV">
    <vt:lpwstr>9EC7F6942399480A8EC87E2FD5317C40_12</vt:lpwstr>
  </property>
  <property fmtid="{D5CDD505-2E9C-101B-9397-08002B2CF9AE}" pid="10" name="KSOProductBuildVer">
    <vt:lpwstr>1033-12.2.0.23155</vt:lpwstr>
  </property>
</Properties>
</file>